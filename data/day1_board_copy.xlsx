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xmlns:r="http://schemas.openxmlformats.org/officeDocument/2006/relationships" name="JobBoard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FFFF"/>
      <sz val="12"/>
      <scheme val="minor"/>
    </font>
    <font>
      <name val="Calibri"/>
      <charset val="134"/>
      <b val="1"/>
      <sz val="12"/>
      <scheme val="minor"/>
    </font>
    <font>
      <name val="Calibri"/>
      <charset val="134"/>
      <b val="1"/>
      <sz val="11"/>
      <scheme val="minor"/>
    </font>
    <font>
      <name val="Calibri"/>
      <charset val="134"/>
      <i val="1"/>
      <color rgb="FF404040"/>
      <sz val="10"/>
      <scheme val="minor"/>
    </font>
    <font>
      <name val="Calibri"/>
      <charset val="134"/>
      <b val="1"/>
      <color rgb="FF000000"/>
      <sz val="12"/>
      <scheme val="minor"/>
    </font>
    <font>
      <name val="Calibri"/>
      <charset val="134"/>
      <color rgb="FF000000"/>
      <sz val="11"/>
      <scheme val="minor"/>
    </font>
    <font>
      <name val="Calibri"/>
      <charset val="134"/>
      <color rgb="FF0000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E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/>
      <top style="medium">
        <color rgb="FF1F4E7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4" borderId="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4" applyAlignment="1">
      <alignment vertical="center"/>
    </xf>
    <xf numFmtId="0" fontId="17" fillId="0" borderId="4" applyAlignment="1">
      <alignment vertical="center"/>
    </xf>
    <xf numFmtId="0" fontId="18" fillId="0" borderId="5" applyAlignment="1">
      <alignment vertical="center"/>
    </xf>
    <xf numFmtId="0" fontId="18" fillId="0" borderId="0" applyAlignment="1">
      <alignment vertical="center"/>
    </xf>
    <xf numFmtId="0" fontId="19" fillId="5" borderId="6" applyAlignment="1">
      <alignment vertical="center"/>
    </xf>
    <xf numFmtId="0" fontId="20" fillId="6" borderId="7" applyAlignment="1">
      <alignment vertical="center"/>
    </xf>
    <xf numFmtId="0" fontId="21" fillId="6" borderId="6" applyAlignment="1">
      <alignment vertical="center"/>
    </xf>
    <xf numFmtId="0" fontId="22" fillId="7" borderId="8" applyAlignment="1">
      <alignment vertical="center"/>
    </xf>
    <xf numFmtId="0" fontId="23" fillId="0" borderId="9" applyAlignment="1">
      <alignment vertical="center"/>
    </xf>
    <xf numFmtId="0" fontId="24" fillId="0" borderId="1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10" fillId="0" borderId="0"/>
  </cellStyleXfs>
  <cellXfs count="18">
    <xf numFmtId="0" fontId="0" fillId="0" borderId="0" pivotButton="0" quotePrefix="0" xfId="49"/>
    <xf numFmtId="0" fontId="1" fillId="2" borderId="0" applyAlignment="1" pivotButton="0" quotePrefix="0" xfId="49">
      <alignment horizontal="center"/>
    </xf>
    <xf numFmtId="0" fontId="2" fillId="2" borderId="0" pivotButton="0" quotePrefix="0" xfId="49"/>
    <xf numFmtId="0" fontId="0" fillId="0" borderId="1" applyAlignment="1" pivotButton="0" quotePrefix="0" xfId="49">
      <alignment vertical="top" wrapText="1"/>
    </xf>
    <xf numFmtId="0" fontId="3" fillId="2" borderId="0" applyAlignment="1" pivotButton="0" quotePrefix="0" xfId="49">
      <alignment horizontal="center"/>
    </xf>
    <xf numFmtId="0" fontId="4" fillId="0" borderId="2" applyAlignment="1" pivotButton="0" quotePrefix="0" xfId="49">
      <alignment horizontal="center"/>
    </xf>
    <xf numFmtId="0" fontId="5" fillId="0" borderId="1" applyAlignment="1" pivotButton="0" quotePrefix="0" xfId="49">
      <alignment vertical="top" wrapText="1"/>
    </xf>
    <xf numFmtId="0" fontId="1" fillId="2" borderId="0" applyAlignment="1" pivotButton="0" quotePrefix="0" xfId="49">
      <alignment horizontal="center" vertical="center"/>
    </xf>
    <xf numFmtId="0" fontId="6" fillId="3" borderId="0" applyAlignment="1" pivotButton="0" quotePrefix="0" xfId="49">
      <alignment vertical="center" wrapText="1"/>
    </xf>
    <xf numFmtId="0" fontId="7" fillId="0" borderId="2" applyAlignment="1" pivotButton="0" quotePrefix="0" xfId="49">
      <alignment horizontal="center"/>
    </xf>
    <xf numFmtId="0" fontId="2" fillId="2" borderId="0" applyAlignment="1" pivotButton="0" quotePrefix="0" xfId="49">
      <alignment horizontal="center" vertical="center" wrapText="1"/>
    </xf>
    <xf numFmtId="0" fontId="8" fillId="0" borderId="1" applyAlignment="1" pivotButton="0" quotePrefix="0" xfId="49">
      <alignment vertical="top" wrapText="1"/>
    </xf>
    <xf numFmtId="0" fontId="9" fillId="0" borderId="1" applyAlignment="1" pivotButton="0" quotePrefix="0" xfId="49">
      <alignment vertical="top" wrapText="1"/>
    </xf>
    <xf numFmtId="164" fontId="9" fillId="0" borderId="1" applyAlignment="1" pivotButton="0" quotePrefix="0" xfId="49">
      <alignment vertical="top" wrapText="1"/>
    </xf>
    <xf numFmtId="1" fontId="8" fillId="0" borderId="1" applyAlignment="1" pivotButton="0" quotePrefix="0" xfId="49">
      <alignment vertical="top" wrapText="1"/>
    </xf>
    <xf numFmtId="1" fontId="9" fillId="0" borderId="1" applyAlignment="1" pivotButton="0" quotePrefix="0" xfId="49">
      <alignment vertical="top" wrapText="1"/>
    </xf>
    <xf numFmtId="0" fontId="0" fillId="0" borderId="0" pivotButton="0" quotePrefix="0" xfId="0"/>
    <xf numFmtId="164" fontId="9" fillId="0" borderId="1" applyAlignment="1" pivotButton="0" quotePrefix="0" xfId="49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EEF6FB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D7" authorId="0" shapeId="0">
      <text>
        <t>建议按你的计划统一用三类：AI Agent 开发 / AI 产品经理 / 技术产品。</t>
      </text>
    </comment>
    <comment ref="E7" authorId="0" shapeId="0">
      <text>
        <t>开发 / 产品 / 双向皆可。</t>
      </text>
    </comment>
    <comment ref="G7" authorId="0" shapeId="0">
      <text>
        <t>可直接粘贴 Boss、官网或 JD 网页链接。</t>
      </text>
    </comment>
    <comment ref="M7" authorId="0" shapeId="0">
      <text>
        <t>高 / 中 / 低，用于判断简历关键词命中程度。</t>
      </text>
    </comment>
    <comment ref="N7" authorId="0" shapeId="0">
      <text>
        <t>P1 = 强匹配且优先投；P2 = 可投；P3 = 备选。</t>
      </text>
    </comment>
    <comment ref="O7" authorId="0" shapeId="0">
      <text>
        <t>建议固定使用下拉选项，方便统计。</t>
      </text>
    </comment>
    <comment ref="W7" authorId="0" shapeId="0">
      <text>
        <t>1-5 分，按你主观匹配度填写。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Y307"/>
  <sheetViews>
    <sheetView tabSelected="1" workbookViewId="0">
      <selection activeCell="E16" sqref="E16"/>
    </sheetView>
  </sheetViews>
  <sheetFormatPr baseColWidth="8" defaultColWidth="9" defaultRowHeight="14.5"/>
  <cols>
    <col width="8" customWidth="1" style="16" min="1" max="1"/>
    <col width="18" customWidth="1" style="16" min="2" max="2"/>
    <col width="24" customWidth="1" style="16" min="3" max="3"/>
    <col width="18" customWidth="1" style="16" min="4" max="4"/>
    <col width="10" customWidth="1" style="16" min="5" max="5"/>
    <col width="16" customWidth="1" style="16" min="6" max="6"/>
    <col width="24" customWidth="1" style="16" min="7" max="7"/>
    <col width="12" customWidth="1" style="16" min="8" max="11"/>
    <col width="10" customWidth="1" style="16" min="12" max="12"/>
    <col width="12" customWidth="1" style="16" min="13" max="13"/>
    <col width="10" customWidth="1" style="16" min="14" max="14"/>
    <col width="12" customWidth="1" style="16" min="15" max="17"/>
    <col width="20" customWidth="1" style="16" min="18" max="18"/>
    <col width="12" customWidth="1" style="16" min="19" max="19"/>
    <col width="10" customWidth="1" style="16" min="20" max="20"/>
    <col width="12" customWidth="1" style="16" min="21" max="21"/>
    <col width="16" customWidth="1" style="16" min="22" max="22"/>
    <col width="11" customWidth="1" style="16" min="23" max="23"/>
    <col width="16" customWidth="1" style="16" min="24" max="24"/>
    <col width="28" customWidth="1" style="16" min="25" max="25"/>
  </cols>
  <sheetData>
    <row r="1" ht="24" customHeight="1" s="16">
      <c r="A1" s="7" t="inlineStr">
        <is>
          <t>求职看板｜AI Agent 开发实习 + AI 产品 / 技术产品实习</t>
        </is>
      </c>
    </row>
    <row r="2" ht="34" customHeight="1" s="16">
      <c r="A2" s="8" t="inlineStr">
        <is>
          <t>填写方法：从第 8 行开始，每一行对应一个岗位；蓝字列为你手动填写，黑字列为自动计算。建议每天更新“当前状态 / 最新进展日期 / 下一步动作”。</t>
        </is>
      </c>
    </row>
    <row r="3"/>
    <row r="4" ht="16.25" customHeight="1" s="16">
      <c r="B4" s="4" t="inlineStr">
        <is>
          <t>总岗位数</t>
        </is>
      </c>
      <c r="D4" s="4" t="inlineStr">
        <is>
          <t>待投递</t>
        </is>
      </c>
      <c r="F4" s="4" t="inlineStr">
        <is>
          <t>进行中</t>
        </is>
      </c>
      <c r="H4" s="4" t="inlineStr">
        <is>
          <t>Offer</t>
        </is>
      </c>
      <c r="J4" s="4" t="inlineStr">
        <is>
          <t>已拒</t>
        </is>
      </c>
      <c r="L4" s="4" t="inlineStr">
        <is>
          <t>P1岗位</t>
        </is>
      </c>
      <c r="N4" s="4" t="inlineStr">
        <is>
          <t>本周待跟进</t>
        </is>
      </c>
    </row>
    <row r="5" ht="15.5" customHeight="1" s="16">
      <c r="B5" s="9">
        <f>COUNTA(B8:B307)</f>
        <v/>
      </c>
      <c r="D5" s="9">
        <f>COUNTIF(O8:O307,"待投递")</f>
        <v/>
      </c>
      <c r="F5" s="9">
        <f>COUNTIF(O8:O307,"已投递")+COUNTIF(O8:O307,"笔试中")+COUNTIF(O8:O307,"一面")+COUNTIF(O8:O307,"二面")+COUNTIF(O8:O307,"三面+")+COUNTIF(O8:O307,"HR面")+COUNTIF(O8:O307,"无回复")+COUNTIF(O8:O307,"人才库")</f>
        <v/>
      </c>
      <c r="H5" s="9">
        <f>COUNTIF(O8:O307,"Offer")</f>
        <v/>
      </c>
      <c r="J5" s="9">
        <f>COUNTIF(O8:O307,"已拒")</f>
        <v/>
      </c>
      <c r="L5" s="9">
        <f>COUNTIF(N8:N307,"P1")</f>
        <v/>
      </c>
      <c r="N5" s="9">
        <f>COUNTIFS(S8:S307,"&gt;="&amp;TODAY(),S8:S307,"&lt;="&amp;TODAY()+7)</f>
        <v/>
      </c>
    </row>
    <row r="6"/>
    <row r="7" ht="32" customHeight="1" s="16">
      <c r="A7" s="10" t="inlineStr">
        <is>
          <t>编号</t>
        </is>
      </c>
      <c r="B7" s="10" t="inlineStr">
        <is>
          <t>公司</t>
        </is>
      </c>
      <c r="C7" s="10" t="inlineStr">
        <is>
          <t>岗位名称</t>
        </is>
      </c>
      <c r="D7" s="10" t="inlineStr">
        <is>
          <t>岗位类别</t>
        </is>
      </c>
      <c r="E7" s="10" t="inlineStr">
        <is>
          <t>方向</t>
        </is>
      </c>
      <c r="F7" s="10" t="inlineStr">
        <is>
          <t>城市/办公形式</t>
        </is>
      </c>
      <c r="G7" s="10" t="inlineStr">
        <is>
          <t>JD链接</t>
        </is>
      </c>
      <c r="H7" s="10" t="inlineStr">
        <is>
          <t>来源渠道</t>
        </is>
      </c>
      <c r="I7" s="10" t="inlineStr">
        <is>
          <t>投递日期</t>
        </is>
      </c>
      <c r="J7" s="10" t="inlineStr">
        <is>
          <t>截止日期</t>
        </is>
      </c>
      <c r="K7" s="10" t="inlineStr">
        <is>
          <t>简历版本</t>
        </is>
      </c>
      <c r="L7" s="10" t="inlineStr">
        <is>
          <t>是否定制</t>
        </is>
      </c>
      <c r="M7" s="10" t="inlineStr">
        <is>
          <t>关键词命中度</t>
        </is>
      </c>
      <c r="N7" s="10" t="inlineStr">
        <is>
          <t>优先级</t>
        </is>
      </c>
      <c r="O7" s="10" t="inlineStr">
        <is>
          <t>当前状态</t>
        </is>
      </c>
      <c r="P7" s="10" t="inlineStr">
        <is>
          <t>最新进展日期</t>
        </is>
      </c>
      <c r="Q7" s="10" t="inlineStr">
        <is>
          <t>距上次进展(天)</t>
        </is>
      </c>
      <c r="R7" s="10" t="inlineStr">
        <is>
          <t>下一步动作</t>
        </is>
      </c>
      <c r="S7" s="10" t="inlineStr">
        <is>
          <t>下一步截止</t>
        </is>
      </c>
      <c r="T7" s="10" t="inlineStr">
        <is>
          <t>面试轮次</t>
        </is>
      </c>
      <c r="U7" s="10" t="inlineStr">
        <is>
          <t>笔试情况</t>
        </is>
      </c>
      <c r="V7" s="10" t="inlineStr">
        <is>
          <t>联系人/内推</t>
        </is>
      </c>
      <c r="W7" s="10" t="inlineStr">
        <is>
          <t>匹配度(1-5)</t>
        </is>
      </c>
      <c r="X7" s="10" t="inlineStr">
        <is>
          <t>风险/挂点</t>
        </is>
      </c>
      <c r="Y7" s="10" t="inlineStr">
        <is>
          <t>复盘总结</t>
        </is>
      </c>
    </row>
    <row r="8">
      <c r="A8" s="11">
        <f>IF(B8="","",ROW()-7)</f>
        <v/>
      </c>
      <c r="B8" s="12" t="inlineStr">
        <is>
          <t>模板适配测试公司</t>
        </is>
      </c>
      <c r="C8" s="12" t="inlineStr">
        <is>
          <t>AI Agent 开发实习生</t>
        </is>
      </c>
      <c r="D8" s="12" t="inlineStr">
        <is>
          <t>开发</t>
        </is>
      </c>
      <c r="E8" s="12" t="inlineStr">
        <is>
          <t>AI Agent 开发</t>
        </is>
      </c>
      <c r="F8" s="12" t="inlineStr">
        <is>
          <t>上海</t>
        </is>
      </c>
      <c r="G8" s="12" t="inlineStr">
        <is>
          <t>https://example.com/test</t>
        </is>
      </c>
      <c r="H8" s="12" t="inlineStr">
        <is>
          <t>官网</t>
        </is>
      </c>
      <c r="I8" s="17" t="inlineStr">
        <is>
          <t>2026-03-25</t>
        </is>
      </c>
      <c r="J8" s="17" t="n"/>
      <c r="K8" s="12" t="n"/>
      <c r="L8" s="12" t="inlineStr">
        <is>
          <t>是</t>
        </is>
      </c>
      <c r="M8" s="12" t="inlineStr">
        <is>
          <t>中</t>
        </is>
      </c>
      <c r="N8" s="12" t="inlineStr">
        <is>
          <t>P1</t>
        </is>
      </c>
      <c r="O8" s="12" t="inlineStr">
        <is>
          <t>待投递</t>
        </is>
      </c>
      <c r="P8" s="17" t="n"/>
      <c r="Q8" s="14">
        <f>IF(P8="","",TODAY()-P8)</f>
        <v/>
      </c>
      <c r="R8" s="12" t="n"/>
      <c r="S8" s="17" t="n"/>
      <c r="T8" s="12" t="n"/>
      <c r="U8" s="12" t="n"/>
      <c r="V8" s="12" t="n"/>
      <c r="W8" s="15" t="n"/>
      <c r="X8" s="12" t="inlineStr">
        <is>
          <t>测试差距</t>
        </is>
      </c>
      <c r="Y8" s="12" t="inlineStr">
        <is>
          <t>测试备注</t>
        </is>
      </c>
    </row>
    <row r="9">
      <c r="A9" s="11">
        <f>IF(B9="","",ROW()-7)</f>
        <v/>
      </c>
      <c r="B9" s="12" t="n"/>
      <c r="C9" s="12" t="n"/>
      <c r="D9" s="12" t="n"/>
      <c r="E9" s="12" t="n"/>
      <c r="F9" s="12" t="n"/>
      <c r="G9" s="12" t="n"/>
      <c r="H9" s="12" t="n"/>
      <c r="I9" s="17" t="n"/>
      <c r="J9" s="17" t="n"/>
      <c r="K9" s="12" t="n"/>
      <c r="L9" s="12" t="n"/>
      <c r="M9" s="12" t="n"/>
      <c r="N9" s="12" t="n"/>
      <c r="O9" s="12" t="n"/>
      <c r="P9" s="17" t="n"/>
      <c r="Q9" s="14">
        <f>IF(P9="","",TODAY()-P9)</f>
        <v/>
      </c>
      <c r="R9" s="12" t="n"/>
      <c r="S9" s="17" t="n"/>
      <c r="T9" s="12" t="n"/>
      <c r="U9" s="12" t="n"/>
      <c r="V9" s="12" t="n"/>
      <c r="W9" s="15" t="n"/>
      <c r="X9" s="12" t="n"/>
      <c r="Y9" s="12" t="n"/>
    </row>
    <row r="10">
      <c r="A10" s="11">
        <f>IF(B10="","",ROW()-7)</f>
        <v/>
      </c>
      <c r="B10" s="12" t="n"/>
      <c r="C10" s="12" t="n"/>
      <c r="D10" s="12" t="n"/>
      <c r="E10" s="12" t="n"/>
      <c r="F10" s="12" t="n"/>
      <c r="G10" s="12" t="n"/>
      <c r="H10" s="12" t="n"/>
      <c r="I10" s="17" t="n"/>
      <c r="J10" s="17" t="n"/>
      <c r="K10" s="12" t="n"/>
      <c r="L10" s="12" t="n"/>
      <c r="M10" s="12" t="n"/>
      <c r="N10" s="12" t="n"/>
      <c r="O10" s="12" t="n"/>
      <c r="P10" s="17" t="n"/>
      <c r="Q10" s="14">
        <f>IF(P10="","",TODAY()-P10)</f>
        <v/>
      </c>
      <c r="R10" s="12" t="n"/>
      <c r="S10" s="17" t="n"/>
      <c r="T10" s="12" t="n"/>
      <c r="U10" s="12" t="n"/>
      <c r="V10" s="12" t="n"/>
      <c r="W10" s="15" t="n"/>
      <c r="X10" s="12" t="n"/>
      <c r="Y10" s="12" t="n"/>
    </row>
    <row r="11">
      <c r="A11" s="11">
        <f>IF(B11="","",ROW()-7)</f>
        <v/>
      </c>
      <c r="B11" s="12" t="n"/>
      <c r="C11" s="12" t="n"/>
      <c r="D11" s="12" t="n"/>
      <c r="E11" s="12" t="n"/>
      <c r="F11" s="12" t="n"/>
      <c r="G11" s="12" t="n"/>
      <c r="H11" s="12" t="n"/>
      <c r="I11" s="17" t="n"/>
      <c r="J11" s="17" t="n"/>
      <c r="K11" s="12" t="n"/>
      <c r="L11" s="12" t="n"/>
      <c r="M11" s="12" t="n"/>
      <c r="N11" s="12" t="n"/>
      <c r="O11" s="12" t="n"/>
      <c r="P11" s="17" t="n"/>
      <c r="Q11" s="14">
        <f>IF(P11="","",TODAY()-P11)</f>
        <v/>
      </c>
      <c r="R11" s="12" t="n"/>
      <c r="S11" s="17" t="n"/>
      <c r="T11" s="12" t="n"/>
      <c r="U11" s="12" t="n"/>
      <c r="V11" s="12" t="n"/>
      <c r="W11" s="15" t="n"/>
      <c r="X11" s="12" t="n"/>
      <c r="Y11" s="12" t="n"/>
    </row>
    <row r="12">
      <c r="A12" s="11">
        <f>IF(B12="","",ROW()-7)</f>
        <v/>
      </c>
      <c r="B12" s="12" t="n"/>
      <c r="C12" s="12" t="n"/>
      <c r="D12" s="12" t="n"/>
      <c r="E12" s="12" t="n"/>
      <c r="F12" s="12" t="n"/>
      <c r="G12" s="12" t="n"/>
      <c r="H12" s="12" t="n"/>
      <c r="I12" s="17" t="n"/>
      <c r="J12" s="17" t="n"/>
      <c r="K12" s="12" t="n"/>
      <c r="L12" s="12" t="n"/>
      <c r="M12" s="12" t="n"/>
      <c r="N12" s="12" t="n"/>
      <c r="O12" s="12" t="n"/>
      <c r="P12" s="17" t="n"/>
      <c r="Q12" s="14">
        <f>IF(P12="","",TODAY()-P12)</f>
        <v/>
      </c>
      <c r="R12" s="12" t="n"/>
      <c r="S12" s="17" t="n"/>
      <c r="T12" s="12" t="n"/>
      <c r="U12" s="12" t="n"/>
      <c r="V12" s="12" t="n"/>
      <c r="W12" s="15" t="n"/>
      <c r="X12" s="12" t="n"/>
      <c r="Y12" s="12" t="n"/>
    </row>
    <row r="13">
      <c r="A13" s="11">
        <f>IF(B13="","",ROW()-7)</f>
        <v/>
      </c>
      <c r="B13" s="12" t="n"/>
      <c r="C13" s="12" t="n"/>
      <c r="D13" s="12" t="n"/>
      <c r="E13" s="12" t="n"/>
      <c r="F13" s="12" t="n"/>
      <c r="G13" s="12" t="n"/>
      <c r="H13" s="12" t="n"/>
      <c r="I13" s="17" t="n"/>
      <c r="J13" s="17" t="n"/>
      <c r="K13" s="12" t="n"/>
      <c r="L13" s="12" t="n"/>
      <c r="M13" s="12" t="n"/>
      <c r="N13" s="12" t="n"/>
      <c r="O13" s="12" t="n"/>
      <c r="P13" s="17" t="n"/>
      <c r="Q13" s="14">
        <f>IF(P13="","",TODAY()-P13)</f>
        <v/>
      </c>
      <c r="R13" s="12" t="n"/>
      <c r="S13" s="17" t="n"/>
      <c r="T13" s="12" t="n"/>
      <c r="U13" s="12" t="n"/>
      <c r="V13" s="12" t="n"/>
      <c r="W13" s="15" t="n"/>
      <c r="X13" s="12" t="n"/>
      <c r="Y13" s="12" t="n"/>
    </row>
    <row r="14">
      <c r="A14" s="11">
        <f>IF(B14="","",ROW()-7)</f>
        <v/>
      </c>
      <c r="B14" s="12" t="n"/>
      <c r="C14" s="12" t="n"/>
      <c r="D14" s="12" t="n"/>
      <c r="E14" s="12" t="n"/>
      <c r="F14" s="12" t="n"/>
      <c r="G14" s="12" t="n"/>
      <c r="H14" s="12" t="n"/>
      <c r="I14" s="17" t="n"/>
      <c r="J14" s="17" t="n"/>
      <c r="K14" s="12" t="n"/>
      <c r="L14" s="12" t="n"/>
      <c r="M14" s="12" t="n"/>
      <c r="N14" s="12" t="n"/>
      <c r="O14" s="12" t="n"/>
      <c r="P14" s="17" t="n"/>
      <c r="Q14" s="14">
        <f>IF(P14="","",TODAY()-P14)</f>
        <v/>
      </c>
      <c r="R14" s="12" t="n"/>
      <c r="S14" s="17" t="n"/>
      <c r="T14" s="12" t="n"/>
      <c r="U14" s="12" t="n"/>
      <c r="V14" s="12" t="n"/>
      <c r="W14" s="15" t="n"/>
      <c r="X14" s="12" t="n"/>
      <c r="Y14" s="12" t="n"/>
    </row>
    <row r="15">
      <c r="A15" s="11">
        <f>IF(B15="","",ROW()-7)</f>
        <v/>
      </c>
      <c r="B15" s="12" t="n"/>
      <c r="C15" s="12" t="n"/>
      <c r="D15" s="12" t="n"/>
      <c r="E15" s="12" t="n"/>
      <c r="F15" s="12" t="n"/>
      <c r="G15" s="12" t="n"/>
      <c r="H15" s="12" t="n"/>
      <c r="I15" s="17" t="n"/>
      <c r="J15" s="17" t="n"/>
      <c r="K15" s="12" t="n"/>
      <c r="L15" s="12" t="n"/>
      <c r="M15" s="12" t="n"/>
      <c r="N15" s="12" t="n"/>
      <c r="O15" s="12" t="n"/>
      <c r="P15" s="17" t="n"/>
      <c r="Q15" s="14">
        <f>IF(P15="","",TODAY()-P15)</f>
        <v/>
      </c>
      <c r="R15" s="12" t="n"/>
      <c r="S15" s="17" t="n"/>
      <c r="T15" s="12" t="n"/>
      <c r="U15" s="12" t="n"/>
      <c r="V15" s="12" t="n"/>
      <c r="W15" s="15" t="n"/>
      <c r="X15" s="12" t="n"/>
      <c r="Y15" s="12" t="n"/>
    </row>
    <row r="16">
      <c r="A16" s="11">
        <f>IF(B16="","",ROW()-7)</f>
        <v/>
      </c>
      <c r="B16" s="12" t="n"/>
      <c r="C16" s="12" t="n"/>
      <c r="D16" s="12" t="n"/>
      <c r="E16" s="12" t="n"/>
      <c r="F16" s="12" t="n"/>
      <c r="G16" s="12" t="n"/>
      <c r="H16" s="12" t="n"/>
      <c r="I16" s="17" t="n"/>
      <c r="J16" s="17" t="n"/>
      <c r="K16" s="12" t="n"/>
      <c r="L16" s="12" t="n"/>
      <c r="M16" s="12" t="n"/>
      <c r="N16" s="12" t="n"/>
      <c r="O16" s="12" t="n"/>
      <c r="P16" s="17" t="n"/>
      <c r="Q16" s="14">
        <f>IF(P16="","",TODAY()-P16)</f>
        <v/>
      </c>
      <c r="R16" s="12" t="n"/>
      <c r="S16" s="17" t="n"/>
      <c r="T16" s="12" t="n"/>
      <c r="U16" s="12" t="n"/>
      <c r="V16" s="12" t="n"/>
      <c r="W16" s="15" t="n"/>
      <c r="X16" s="12" t="n"/>
      <c r="Y16" s="12" t="n"/>
    </row>
    <row r="17">
      <c r="A17" s="11">
        <f>IF(B17="","",ROW()-7)</f>
        <v/>
      </c>
      <c r="B17" s="12" t="n"/>
      <c r="C17" s="12" t="n"/>
      <c r="D17" s="12" t="n"/>
      <c r="E17" s="12" t="n"/>
      <c r="F17" s="12" t="n"/>
      <c r="G17" s="12" t="n"/>
      <c r="H17" s="12" t="n"/>
      <c r="I17" s="17" t="n"/>
      <c r="J17" s="17" t="n"/>
      <c r="K17" s="12" t="n"/>
      <c r="L17" s="12" t="n"/>
      <c r="M17" s="12" t="n"/>
      <c r="N17" s="12" t="n"/>
      <c r="O17" s="12" t="n"/>
      <c r="P17" s="17" t="n"/>
      <c r="Q17" s="14">
        <f>IF(P17="","",TODAY()-P17)</f>
        <v/>
      </c>
      <c r="R17" s="12" t="n"/>
      <c r="S17" s="17" t="n"/>
      <c r="T17" s="12" t="n"/>
      <c r="U17" s="12" t="n"/>
      <c r="V17" s="12" t="n"/>
      <c r="W17" s="15" t="n"/>
      <c r="X17" s="12" t="n"/>
      <c r="Y17" s="12" t="n"/>
    </row>
    <row r="18">
      <c r="A18" s="11">
        <f>IF(B18="","",ROW()-7)</f>
        <v/>
      </c>
      <c r="B18" s="12" t="n"/>
      <c r="C18" s="12" t="n"/>
      <c r="D18" s="12" t="n"/>
      <c r="E18" s="12" t="n"/>
      <c r="F18" s="12" t="n"/>
      <c r="G18" s="12" t="n"/>
      <c r="H18" s="12" t="n"/>
      <c r="I18" s="17" t="n"/>
      <c r="J18" s="17" t="n"/>
      <c r="K18" s="12" t="n"/>
      <c r="L18" s="12" t="n"/>
      <c r="M18" s="12" t="n"/>
      <c r="N18" s="12" t="n"/>
      <c r="O18" s="12" t="n"/>
      <c r="P18" s="17" t="n"/>
      <c r="Q18" s="14">
        <f>IF(P18="","",TODAY()-P18)</f>
        <v/>
      </c>
      <c r="R18" s="12" t="n"/>
      <c r="S18" s="17" t="n"/>
      <c r="T18" s="12" t="n"/>
      <c r="U18" s="12" t="n"/>
      <c r="V18" s="12" t="n"/>
      <c r="W18" s="15" t="n"/>
      <c r="X18" s="12" t="n"/>
      <c r="Y18" s="12" t="n"/>
    </row>
    <row r="19">
      <c r="A19" s="11">
        <f>IF(B19="","",ROW()-7)</f>
        <v/>
      </c>
      <c r="B19" s="12" t="n"/>
      <c r="C19" s="12" t="n"/>
      <c r="D19" s="12" t="n"/>
      <c r="E19" s="12" t="n"/>
      <c r="F19" s="12" t="n"/>
      <c r="G19" s="12" t="n"/>
      <c r="H19" s="12" t="n"/>
      <c r="I19" s="17" t="n"/>
      <c r="J19" s="17" t="n"/>
      <c r="K19" s="12" t="n"/>
      <c r="L19" s="12" t="n"/>
      <c r="M19" s="12" t="n"/>
      <c r="N19" s="12" t="n"/>
      <c r="O19" s="12" t="n"/>
      <c r="P19" s="17" t="n"/>
      <c r="Q19" s="14">
        <f>IF(P19="","",TODAY()-P19)</f>
        <v/>
      </c>
      <c r="R19" s="12" t="n"/>
      <c r="S19" s="17" t="n"/>
      <c r="T19" s="12" t="n"/>
      <c r="U19" s="12" t="n"/>
      <c r="V19" s="12" t="n"/>
      <c r="W19" s="15" t="n"/>
      <c r="X19" s="12" t="n"/>
      <c r="Y19" s="12" t="n"/>
    </row>
    <row r="20">
      <c r="A20" s="11">
        <f>IF(B20="","",ROW()-7)</f>
        <v/>
      </c>
      <c r="B20" s="12" t="n"/>
      <c r="C20" s="12" t="n"/>
      <c r="D20" s="12" t="n"/>
      <c r="E20" s="12" t="n"/>
      <c r="F20" s="12" t="n"/>
      <c r="G20" s="12" t="n"/>
      <c r="H20" s="12" t="n"/>
      <c r="I20" s="17" t="n"/>
      <c r="J20" s="17" t="n"/>
      <c r="K20" s="12" t="n"/>
      <c r="L20" s="12" t="n"/>
      <c r="M20" s="12" t="n"/>
      <c r="N20" s="12" t="n"/>
      <c r="O20" s="12" t="n"/>
      <c r="P20" s="17" t="n"/>
      <c r="Q20" s="14">
        <f>IF(P20="","",TODAY()-P20)</f>
        <v/>
      </c>
      <c r="R20" s="12" t="n"/>
      <c r="S20" s="17" t="n"/>
      <c r="T20" s="12" t="n"/>
      <c r="U20" s="12" t="n"/>
      <c r="V20" s="12" t="n"/>
      <c r="W20" s="15" t="n"/>
      <c r="X20" s="12" t="n"/>
      <c r="Y20" s="12" t="n"/>
    </row>
    <row r="21">
      <c r="A21" s="11">
        <f>IF(B21="","",ROW()-7)</f>
        <v/>
      </c>
      <c r="B21" s="12" t="n"/>
      <c r="C21" s="12" t="n"/>
      <c r="D21" s="12" t="n"/>
      <c r="E21" s="12" t="n"/>
      <c r="F21" s="12" t="n"/>
      <c r="G21" s="12" t="n"/>
      <c r="H21" s="12" t="n"/>
      <c r="I21" s="17" t="n"/>
      <c r="J21" s="17" t="n"/>
      <c r="K21" s="12" t="n"/>
      <c r="L21" s="12" t="n"/>
      <c r="M21" s="12" t="n"/>
      <c r="N21" s="12" t="n"/>
      <c r="O21" s="12" t="n"/>
      <c r="P21" s="17" t="n"/>
      <c r="Q21" s="14">
        <f>IF(P21="","",TODAY()-P21)</f>
        <v/>
      </c>
      <c r="R21" s="12" t="n"/>
      <c r="S21" s="17" t="n"/>
      <c r="T21" s="12" t="n"/>
      <c r="U21" s="12" t="n"/>
      <c r="V21" s="12" t="n"/>
      <c r="W21" s="15" t="n"/>
      <c r="X21" s="12" t="n"/>
      <c r="Y21" s="12" t="n"/>
    </row>
    <row r="22">
      <c r="A22" s="11">
        <f>IF(B22="","",ROW()-7)</f>
        <v/>
      </c>
      <c r="B22" s="12" t="n"/>
      <c r="C22" s="12" t="n"/>
      <c r="D22" s="12" t="n"/>
      <c r="E22" s="12" t="n"/>
      <c r="F22" s="12" t="n"/>
      <c r="G22" s="12" t="n"/>
      <c r="H22" s="12" t="n"/>
      <c r="I22" s="17" t="n"/>
      <c r="J22" s="17" t="n"/>
      <c r="K22" s="12" t="n"/>
      <c r="L22" s="12" t="n"/>
      <c r="M22" s="12" t="n"/>
      <c r="N22" s="12" t="n"/>
      <c r="O22" s="12" t="n"/>
      <c r="P22" s="17" t="n"/>
      <c r="Q22" s="14">
        <f>IF(P22="","",TODAY()-P22)</f>
        <v/>
      </c>
      <c r="R22" s="12" t="n"/>
      <c r="S22" s="17" t="n"/>
      <c r="T22" s="12" t="n"/>
      <c r="U22" s="12" t="n"/>
      <c r="V22" s="12" t="n"/>
      <c r="W22" s="15" t="n"/>
      <c r="X22" s="12" t="n"/>
      <c r="Y22" s="12" t="n"/>
    </row>
    <row r="23">
      <c r="A23" s="11">
        <f>IF(B23="","",ROW()-7)</f>
        <v/>
      </c>
      <c r="B23" s="12" t="n"/>
      <c r="C23" s="12" t="n"/>
      <c r="D23" s="12" t="n"/>
      <c r="E23" s="12" t="n"/>
      <c r="F23" s="12" t="n"/>
      <c r="G23" s="12" t="n"/>
      <c r="H23" s="12" t="n"/>
      <c r="I23" s="17" t="n"/>
      <c r="J23" s="17" t="n"/>
      <c r="K23" s="12" t="n"/>
      <c r="L23" s="12" t="n"/>
      <c r="M23" s="12" t="n"/>
      <c r="N23" s="12" t="n"/>
      <c r="O23" s="12" t="n"/>
      <c r="P23" s="17" t="n"/>
      <c r="Q23" s="14">
        <f>IF(P23="","",TODAY()-P23)</f>
        <v/>
      </c>
      <c r="R23" s="12" t="n"/>
      <c r="S23" s="17" t="n"/>
      <c r="T23" s="12" t="n"/>
      <c r="U23" s="12" t="n"/>
      <c r="V23" s="12" t="n"/>
      <c r="W23" s="15" t="n"/>
      <c r="X23" s="12" t="n"/>
      <c r="Y23" s="12" t="n"/>
    </row>
    <row r="24">
      <c r="A24" s="11">
        <f>IF(B24="","",ROW()-7)</f>
        <v/>
      </c>
      <c r="B24" s="12" t="n"/>
      <c r="C24" s="12" t="n"/>
      <c r="D24" s="12" t="n"/>
      <c r="E24" s="12" t="n"/>
      <c r="F24" s="12" t="n"/>
      <c r="G24" s="12" t="n"/>
      <c r="H24" s="12" t="n"/>
      <c r="I24" s="17" t="n"/>
      <c r="J24" s="17" t="n"/>
      <c r="K24" s="12" t="n"/>
      <c r="L24" s="12" t="n"/>
      <c r="M24" s="12" t="n"/>
      <c r="N24" s="12" t="n"/>
      <c r="O24" s="12" t="n"/>
      <c r="P24" s="17" t="n"/>
      <c r="Q24" s="14">
        <f>IF(P24="","",TODAY()-P24)</f>
        <v/>
      </c>
      <c r="R24" s="12" t="n"/>
      <c r="S24" s="17" t="n"/>
      <c r="T24" s="12" t="n"/>
      <c r="U24" s="12" t="n"/>
      <c r="V24" s="12" t="n"/>
      <c r="W24" s="15" t="n"/>
      <c r="X24" s="12" t="n"/>
      <c r="Y24" s="12" t="n"/>
    </row>
    <row r="25">
      <c r="A25" s="11">
        <f>IF(B25="","",ROW()-7)</f>
        <v/>
      </c>
      <c r="B25" s="12" t="n"/>
      <c r="C25" s="12" t="n"/>
      <c r="D25" s="12" t="n"/>
      <c r="E25" s="12" t="n"/>
      <c r="F25" s="12" t="n"/>
      <c r="G25" s="12" t="n"/>
      <c r="H25" s="12" t="n"/>
      <c r="I25" s="17" t="n"/>
      <c r="J25" s="17" t="n"/>
      <c r="K25" s="12" t="n"/>
      <c r="L25" s="12" t="n"/>
      <c r="M25" s="12" t="n"/>
      <c r="N25" s="12" t="n"/>
      <c r="O25" s="12" t="n"/>
      <c r="P25" s="17" t="n"/>
      <c r="Q25" s="14">
        <f>IF(P25="","",TODAY()-P25)</f>
        <v/>
      </c>
      <c r="R25" s="12" t="n"/>
      <c r="S25" s="17" t="n"/>
      <c r="T25" s="12" t="n"/>
      <c r="U25" s="12" t="n"/>
      <c r="V25" s="12" t="n"/>
      <c r="W25" s="15" t="n"/>
      <c r="X25" s="12" t="n"/>
      <c r="Y25" s="12" t="n"/>
    </row>
    <row r="26">
      <c r="A26" s="11">
        <f>IF(B26="","",ROW()-7)</f>
        <v/>
      </c>
      <c r="B26" s="12" t="n"/>
      <c r="C26" s="12" t="n"/>
      <c r="D26" s="12" t="n"/>
      <c r="E26" s="12" t="n"/>
      <c r="F26" s="12" t="n"/>
      <c r="G26" s="12" t="n"/>
      <c r="H26" s="12" t="n"/>
      <c r="I26" s="17" t="n"/>
      <c r="J26" s="17" t="n"/>
      <c r="K26" s="12" t="n"/>
      <c r="L26" s="12" t="n"/>
      <c r="M26" s="12" t="n"/>
      <c r="N26" s="12" t="n"/>
      <c r="O26" s="12" t="n"/>
      <c r="P26" s="17" t="n"/>
      <c r="Q26" s="14">
        <f>IF(P26="","",TODAY()-P26)</f>
        <v/>
      </c>
      <c r="R26" s="12" t="n"/>
      <c r="S26" s="17" t="n"/>
      <c r="T26" s="12" t="n"/>
      <c r="U26" s="12" t="n"/>
      <c r="V26" s="12" t="n"/>
      <c r="W26" s="15" t="n"/>
      <c r="X26" s="12" t="n"/>
      <c r="Y26" s="12" t="n"/>
    </row>
    <row r="27">
      <c r="A27" s="11">
        <f>IF(B27="","",ROW()-7)</f>
        <v/>
      </c>
      <c r="B27" s="12" t="n"/>
      <c r="C27" s="12" t="n"/>
      <c r="D27" s="12" t="n"/>
      <c r="E27" s="12" t="n"/>
      <c r="F27" s="12" t="n"/>
      <c r="G27" s="12" t="n"/>
      <c r="H27" s="12" t="n"/>
      <c r="I27" s="17" t="n"/>
      <c r="J27" s="17" t="n"/>
      <c r="K27" s="12" t="n"/>
      <c r="L27" s="12" t="n"/>
      <c r="M27" s="12" t="n"/>
      <c r="N27" s="12" t="n"/>
      <c r="O27" s="12" t="n"/>
      <c r="P27" s="17" t="n"/>
      <c r="Q27" s="14">
        <f>IF(P27="","",TODAY()-P27)</f>
        <v/>
      </c>
      <c r="R27" s="12" t="n"/>
      <c r="S27" s="17" t="n"/>
      <c r="T27" s="12" t="n"/>
      <c r="U27" s="12" t="n"/>
      <c r="V27" s="12" t="n"/>
      <c r="W27" s="15" t="n"/>
      <c r="X27" s="12" t="n"/>
      <c r="Y27" s="12" t="n"/>
    </row>
    <row r="28">
      <c r="A28" s="11">
        <f>IF(B28="","",ROW()-7)</f>
        <v/>
      </c>
      <c r="B28" s="12" t="n"/>
      <c r="C28" s="12" t="n"/>
      <c r="D28" s="12" t="n"/>
      <c r="E28" s="12" t="n"/>
      <c r="F28" s="12" t="n"/>
      <c r="G28" s="12" t="n"/>
      <c r="H28" s="12" t="n"/>
      <c r="I28" s="17" t="n"/>
      <c r="J28" s="17" t="n"/>
      <c r="K28" s="12" t="n"/>
      <c r="L28" s="12" t="n"/>
      <c r="M28" s="12" t="n"/>
      <c r="N28" s="12" t="n"/>
      <c r="O28" s="12" t="n"/>
      <c r="P28" s="17" t="n"/>
      <c r="Q28" s="14">
        <f>IF(P28="","",TODAY()-P28)</f>
        <v/>
      </c>
      <c r="R28" s="12" t="n"/>
      <c r="S28" s="17" t="n"/>
      <c r="T28" s="12" t="n"/>
      <c r="U28" s="12" t="n"/>
      <c r="V28" s="12" t="n"/>
      <c r="W28" s="15" t="n"/>
      <c r="X28" s="12" t="n"/>
      <c r="Y28" s="12" t="n"/>
    </row>
    <row r="29">
      <c r="A29" s="11">
        <f>IF(B29="","",ROW()-7)</f>
        <v/>
      </c>
      <c r="B29" s="12" t="n"/>
      <c r="C29" s="12" t="n"/>
      <c r="D29" s="12" t="n"/>
      <c r="E29" s="12" t="n"/>
      <c r="F29" s="12" t="n"/>
      <c r="G29" s="12" t="n"/>
      <c r="H29" s="12" t="n"/>
      <c r="I29" s="17" t="n"/>
      <c r="J29" s="17" t="n"/>
      <c r="K29" s="12" t="n"/>
      <c r="L29" s="12" t="n"/>
      <c r="M29" s="12" t="n"/>
      <c r="N29" s="12" t="n"/>
      <c r="O29" s="12" t="n"/>
      <c r="P29" s="17" t="n"/>
      <c r="Q29" s="14">
        <f>IF(P29="","",TODAY()-P29)</f>
        <v/>
      </c>
      <c r="R29" s="12" t="n"/>
      <c r="S29" s="17" t="n"/>
      <c r="T29" s="12" t="n"/>
      <c r="U29" s="12" t="n"/>
      <c r="V29" s="12" t="n"/>
      <c r="W29" s="15" t="n"/>
      <c r="X29" s="12" t="n"/>
      <c r="Y29" s="12" t="n"/>
    </row>
    <row r="30">
      <c r="A30" s="11">
        <f>IF(B30="","",ROW()-7)</f>
        <v/>
      </c>
      <c r="B30" s="12" t="n"/>
      <c r="C30" s="12" t="n"/>
      <c r="D30" s="12" t="n"/>
      <c r="E30" s="12" t="n"/>
      <c r="F30" s="12" t="n"/>
      <c r="G30" s="12" t="n"/>
      <c r="H30" s="12" t="n"/>
      <c r="I30" s="17" t="n"/>
      <c r="J30" s="17" t="n"/>
      <c r="K30" s="12" t="n"/>
      <c r="L30" s="12" t="n"/>
      <c r="M30" s="12" t="n"/>
      <c r="N30" s="12" t="n"/>
      <c r="O30" s="12" t="n"/>
      <c r="P30" s="17" t="n"/>
      <c r="Q30" s="14">
        <f>IF(P30="","",TODAY()-P30)</f>
        <v/>
      </c>
      <c r="R30" s="12" t="n"/>
      <c r="S30" s="17" t="n"/>
      <c r="T30" s="12" t="n"/>
      <c r="U30" s="12" t="n"/>
      <c r="V30" s="12" t="n"/>
      <c r="W30" s="15" t="n"/>
      <c r="X30" s="12" t="n"/>
      <c r="Y30" s="12" t="n"/>
    </row>
    <row r="31">
      <c r="A31" s="11">
        <f>IF(B31="","",ROW()-7)</f>
        <v/>
      </c>
      <c r="B31" s="12" t="n"/>
      <c r="C31" s="12" t="n"/>
      <c r="D31" s="12" t="n"/>
      <c r="E31" s="12" t="n"/>
      <c r="F31" s="12" t="n"/>
      <c r="G31" s="12" t="n"/>
      <c r="H31" s="12" t="n"/>
      <c r="I31" s="17" t="n"/>
      <c r="J31" s="17" t="n"/>
      <c r="K31" s="12" t="n"/>
      <c r="L31" s="12" t="n"/>
      <c r="M31" s="12" t="n"/>
      <c r="N31" s="12" t="n"/>
      <c r="O31" s="12" t="n"/>
      <c r="P31" s="17" t="n"/>
      <c r="Q31" s="14">
        <f>IF(P31="","",TODAY()-P31)</f>
        <v/>
      </c>
      <c r="R31" s="12" t="n"/>
      <c r="S31" s="17" t="n"/>
      <c r="T31" s="12" t="n"/>
      <c r="U31" s="12" t="n"/>
      <c r="V31" s="12" t="n"/>
      <c r="W31" s="15" t="n"/>
      <c r="X31" s="12" t="n"/>
      <c r="Y31" s="12" t="n"/>
    </row>
    <row r="32">
      <c r="A32" s="11">
        <f>IF(B32="","",ROW()-7)</f>
        <v/>
      </c>
      <c r="B32" s="12" t="n"/>
      <c r="C32" s="12" t="n"/>
      <c r="D32" s="12" t="n"/>
      <c r="E32" s="12" t="n"/>
      <c r="F32" s="12" t="n"/>
      <c r="G32" s="12" t="n"/>
      <c r="H32" s="12" t="n"/>
      <c r="I32" s="17" t="n"/>
      <c r="J32" s="17" t="n"/>
      <c r="K32" s="12" t="n"/>
      <c r="L32" s="12" t="n"/>
      <c r="M32" s="12" t="n"/>
      <c r="N32" s="12" t="n"/>
      <c r="O32" s="12" t="n"/>
      <c r="P32" s="17" t="n"/>
      <c r="Q32" s="14">
        <f>IF(P32="","",TODAY()-P32)</f>
        <v/>
      </c>
      <c r="R32" s="12" t="n"/>
      <c r="S32" s="17" t="n"/>
      <c r="T32" s="12" t="n"/>
      <c r="U32" s="12" t="n"/>
      <c r="V32" s="12" t="n"/>
      <c r="W32" s="15" t="n"/>
      <c r="X32" s="12" t="n"/>
      <c r="Y32" s="12" t="n"/>
    </row>
    <row r="33">
      <c r="A33" s="11">
        <f>IF(B33="","",ROW()-7)</f>
        <v/>
      </c>
      <c r="B33" s="12" t="n"/>
      <c r="C33" s="12" t="n"/>
      <c r="D33" s="12" t="n"/>
      <c r="E33" s="12" t="n"/>
      <c r="F33" s="12" t="n"/>
      <c r="G33" s="12" t="n"/>
      <c r="H33" s="12" t="n"/>
      <c r="I33" s="17" t="n"/>
      <c r="J33" s="17" t="n"/>
      <c r="K33" s="12" t="n"/>
      <c r="L33" s="12" t="n"/>
      <c r="M33" s="12" t="n"/>
      <c r="N33" s="12" t="n"/>
      <c r="O33" s="12" t="n"/>
      <c r="P33" s="17" t="n"/>
      <c r="Q33" s="14">
        <f>IF(P33="","",TODAY()-P33)</f>
        <v/>
      </c>
      <c r="R33" s="12" t="n"/>
      <c r="S33" s="17" t="n"/>
      <c r="T33" s="12" t="n"/>
      <c r="U33" s="12" t="n"/>
      <c r="V33" s="12" t="n"/>
      <c r="W33" s="15" t="n"/>
      <c r="X33" s="12" t="n"/>
      <c r="Y33" s="12" t="n"/>
    </row>
    <row r="34">
      <c r="A34" s="11">
        <f>IF(B34="","",ROW()-7)</f>
        <v/>
      </c>
      <c r="B34" s="12" t="n"/>
      <c r="C34" s="12" t="n"/>
      <c r="D34" s="12" t="n"/>
      <c r="E34" s="12" t="n"/>
      <c r="F34" s="12" t="n"/>
      <c r="G34" s="12" t="n"/>
      <c r="H34" s="12" t="n"/>
      <c r="I34" s="17" t="n"/>
      <c r="J34" s="17" t="n"/>
      <c r="K34" s="12" t="n"/>
      <c r="L34" s="12" t="n"/>
      <c r="M34" s="12" t="n"/>
      <c r="N34" s="12" t="n"/>
      <c r="O34" s="12" t="n"/>
      <c r="P34" s="17" t="n"/>
      <c r="Q34" s="14">
        <f>IF(P34="","",TODAY()-P34)</f>
        <v/>
      </c>
      <c r="R34" s="12" t="n"/>
      <c r="S34" s="17" t="n"/>
      <c r="T34" s="12" t="n"/>
      <c r="U34" s="12" t="n"/>
      <c r="V34" s="12" t="n"/>
      <c r="W34" s="15" t="n"/>
      <c r="X34" s="12" t="n"/>
      <c r="Y34" s="12" t="n"/>
    </row>
    <row r="35">
      <c r="A35" s="11">
        <f>IF(B35="","",ROW()-7)</f>
        <v/>
      </c>
      <c r="B35" s="12" t="n"/>
      <c r="C35" s="12" t="n"/>
      <c r="D35" s="12" t="n"/>
      <c r="E35" s="12" t="n"/>
      <c r="F35" s="12" t="n"/>
      <c r="G35" s="12" t="n"/>
      <c r="H35" s="12" t="n"/>
      <c r="I35" s="17" t="n"/>
      <c r="J35" s="17" t="n"/>
      <c r="K35" s="12" t="n"/>
      <c r="L35" s="12" t="n"/>
      <c r="M35" s="12" t="n"/>
      <c r="N35" s="12" t="n"/>
      <c r="O35" s="12" t="n"/>
      <c r="P35" s="17" t="n"/>
      <c r="Q35" s="14">
        <f>IF(P35="","",TODAY()-P35)</f>
        <v/>
      </c>
      <c r="R35" s="12" t="n"/>
      <c r="S35" s="17" t="n"/>
      <c r="T35" s="12" t="n"/>
      <c r="U35" s="12" t="n"/>
      <c r="V35" s="12" t="n"/>
      <c r="W35" s="15" t="n"/>
      <c r="X35" s="12" t="n"/>
      <c r="Y35" s="12" t="n"/>
    </row>
    <row r="36">
      <c r="A36" s="11">
        <f>IF(B36="","",ROW()-7)</f>
        <v/>
      </c>
      <c r="B36" s="12" t="n"/>
      <c r="C36" s="12" t="n"/>
      <c r="D36" s="12" t="n"/>
      <c r="E36" s="12" t="n"/>
      <c r="F36" s="12" t="n"/>
      <c r="G36" s="12" t="n"/>
      <c r="H36" s="12" t="n"/>
      <c r="I36" s="17" t="n"/>
      <c r="J36" s="17" t="n"/>
      <c r="K36" s="12" t="n"/>
      <c r="L36" s="12" t="n"/>
      <c r="M36" s="12" t="n"/>
      <c r="N36" s="12" t="n"/>
      <c r="O36" s="12" t="n"/>
      <c r="P36" s="17" t="n"/>
      <c r="Q36" s="14">
        <f>IF(P36="","",TODAY()-P36)</f>
        <v/>
      </c>
      <c r="R36" s="12" t="n"/>
      <c r="S36" s="17" t="n"/>
      <c r="T36" s="12" t="n"/>
      <c r="U36" s="12" t="n"/>
      <c r="V36" s="12" t="n"/>
      <c r="W36" s="15" t="n"/>
      <c r="X36" s="12" t="n"/>
      <c r="Y36" s="12" t="n"/>
    </row>
    <row r="37">
      <c r="A37" s="11">
        <f>IF(B37="","",ROW()-7)</f>
        <v/>
      </c>
      <c r="B37" s="12" t="n"/>
      <c r="C37" s="12" t="n"/>
      <c r="D37" s="12" t="n"/>
      <c r="E37" s="12" t="n"/>
      <c r="F37" s="12" t="n"/>
      <c r="G37" s="12" t="n"/>
      <c r="H37" s="12" t="n"/>
      <c r="I37" s="17" t="n"/>
      <c r="J37" s="17" t="n"/>
      <c r="K37" s="12" t="n"/>
      <c r="L37" s="12" t="n"/>
      <c r="M37" s="12" t="n"/>
      <c r="N37" s="12" t="n"/>
      <c r="O37" s="12" t="n"/>
      <c r="P37" s="17" t="n"/>
      <c r="Q37" s="14">
        <f>IF(P37="","",TODAY()-P37)</f>
        <v/>
      </c>
      <c r="R37" s="12" t="n"/>
      <c r="S37" s="17" t="n"/>
      <c r="T37" s="12" t="n"/>
      <c r="U37" s="12" t="n"/>
      <c r="V37" s="12" t="n"/>
      <c r="W37" s="15" t="n"/>
      <c r="X37" s="12" t="n"/>
      <c r="Y37" s="12" t="n"/>
    </row>
    <row r="38">
      <c r="A38" s="11">
        <f>IF(B38="","",ROW()-7)</f>
        <v/>
      </c>
      <c r="B38" s="12" t="n"/>
      <c r="C38" s="12" t="n"/>
      <c r="D38" s="12" t="n"/>
      <c r="E38" s="12" t="n"/>
      <c r="F38" s="12" t="n"/>
      <c r="G38" s="12" t="n"/>
      <c r="H38" s="12" t="n"/>
      <c r="I38" s="17" t="n"/>
      <c r="J38" s="17" t="n"/>
      <c r="K38" s="12" t="n"/>
      <c r="L38" s="12" t="n"/>
      <c r="M38" s="12" t="n"/>
      <c r="N38" s="12" t="n"/>
      <c r="O38" s="12" t="n"/>
      <c r="P38" s="17" t="n"/>
      <c r="Q38" s="14">
        <f>IF(P38="","",TODAY()-P38)</f>
        <v/>
      </c>
      <c r="R38" s="12" t="n"/>
      <c r="S38" s="17" t="n"/>
      <c r="T38" s="12" t="n"/>
      <c r="U38" s="12" t="n"/>
      <c r="V38" s="12" t="n"/>
      <c r="W38" s="15" t="n"/>
      <c r="X38" s="12" t="n"/>
      <c r="Y38" s="12" t="n"/>
    </row>
    <row r="39">
      <c r="A39" s="11">
        <f>IF(B39="","",ROW()-7)</f>
        <v/>
      </c>
      <c r="B39" s="12" t="n"/>
      <c r="C39" s="12" t="n"/>
      <c r="D39" s="12" t="n"/>
      <c r="E39" s="12" t="n"/>
      <c r="F39" s="12" t="n"/>
      <c r="G39" s="12" t="n"/>
      <c r="H39" s="12" t="n"/>
      <c r="I39" s="17" t="n"/>
      <c r="J39" s="17" t="n"/>
      <c r="K39" s="12" t="n"/>
      <c r="L39" s="12" t="n"/>
      <c r="M39" s="12" t="n"/>
      <c r="N39" s="12" t="n"/>
      <c r="O39" s="12" t="n"/>
      <c r="P39" s="17" t="n"/>
      <c r="Q39" s="14">
        <f>IF(P39="","",TODAY()-P39)</f>
        <v/>
      </c>
      <c r="R39" s="12" t="n"/>
      <c r="S39" s="17" t="n"/>
      <c r="T39" s="12" t="n"/>
      <c r="U39" s="12" t="n"/>
      <c r="V39" s="12" t="n"/>
      <c r="W39" s="15" t="n"/>
      <c r="X39" s="12" t="n"/>
      <c r="Y39" s="12" t="n"/>
    </row>
    <row r="40">
      <c r="A40" s="11">
        <f>IF(B40="","",ROW()-7)</f>
        <v/>
      </c>
      <c r="B40" s="12" t="n"/>
      <c r="C40" s="12" t="n"/>
      <c r="D40" s="12" t="n"/>
      <c r="E40" s="12" t="n"/>
      <c r="F40" s="12" t="n"/>
      <c r="G40" s="12" t="n"/>
      <c r="H40" s="12" t="n"/>
      <c r="I40" s="17" t="n"/>
      <c r="J40" s="17" t="n"/>
      <c r="K40" s="12" t="n"/>
      <c r="L40" s="12" t="n"/>
      <c r="M40" s="12" t="n"/>
      <c r="N40" s="12" t="n"/>
      <c r="O40" s="12" t="n"/>
      <c r="P40" s="17" t="n"/>
      <c r="Q40" s="14">
        <f>IF(P40="","",TODAY()-P40)</f>
        <v/>
      </c>
      <c r="R40" s="12" t="n"/>
      <c r="S40" s="17" t="n"/>
      <c r="T40" s="12" t="n"/>
      <c r="U40" s="12" t="n"/>
      <c r="V40" s="12" t="n"/>
      <c r="W40" s="15" t="n"/>
      <c r="X40" s="12" t="n"/>
      <c r="Y40" s="12" t="n"/>
    </row>
    <row r="41">
      <c r="A41" s="11">
        <f>IF(B41="","",ROW()-7)</f>
        <v/>
      </c>
      <c r="B41" s="12" t="n"/>
      <c r="C41" s="12" t="n"/>
      <c r="D41" s="12" t="n"/>
      <c r="E41" s="12" t="n"/>
      <c r="F41" s="12" t="n"/>
      <c r="G41" s="12" t="n"/>
      <c r="H41" s="12" t="n"/>
      <c r="I41" s="17" t="n"/>
      <c r="J41" s="17" t="n"/>
      <c r="K41" s="12" t="n"/>
      <c r="L41" s="12" t="n"/>
      <c r="M41" s="12" t="n"/>
      <c r="N41" s="12" t="n"/>
      <c r="O41" s="12" t="n"/>
      <c r="P41" s="17" t="n"/>
      <c r="Q41" s="14">
        <f>IF(P41="","",TODAY()-P41)</f>
        <v/>
      </c>
      <c r="R41" s="12" t="n"/>
      <c r="S41" s="17" t="n"/>
      <c r="T41" s="12" t="n"/>
      <c r="U41" s="12" t="n"/>
      <c r="V41" s="12" t="n"/>
      <c r="W41" s="15" t="n"/>
      <c r="X41" s="12" t="n"/>
      <c r="Y41" s="12" t="n"/>
    </row>
    <row r="42">
      <c r="A42" s="11">
        <f>IF(B42="","",ROW()-7)</f>
        <v/>
      </c>
      <c r="B42" s="12" t="n"/>
      <c r="C42" s="12" t="n"/>
      <c r="D42" s="12" t="n"/>
      <c r="E42" s="12" t="n"/>
      <c r="F42" s="12" t="n"/>
      <c r="G42" s="12" t="n"/>
      <c r="H42" s="12" t="n"/>
      <c r="I42" s="17" t="n"/>
      <c r="J42" s="17" t="n"/>
      <c r="K42" s="12" t="n"/>
      <c r="L42" s="12" t="n"/>
      <c r="M42" s="12" t="n"/>
      <c r="N42" s="12" t="n"/>
      <c r="O42" s="12" t="n"/>
      <c r="P42" s="17" t="n"/>
      <c r="Q42" s="14">
        <f>IF(P42="","",TODAY()-P42)</f>
        <v/>
      </c>
      <c r="R42" s="12" t="n"/>
      <c r="S42" s="17" t="n"/>
      <c r="T42" s="12" t="n"/>
      <c r="U42" s="12" t="n"/>
      <c r="V42" s="12" t="n"/>
      <c r="W42" s="15" t="n"/>
      <c r="X42" s="12" t="n"/>
      <c r="Y42" s="12" t="n"/>
    </row>
    <row r="43">
      <c r="A43" s="11">
        <f>IF(B43="","",ROW()-7)</f>
        <v/>
      </c>
      <c r="B43" s="12" t="n"/>
      <c r="C43" s="12" t="n"/>
      <c r="D43" s="12" t="n"/>
      <c r="E43" s="12" t="n"/>
      <c r="F43" s="12" t="n"/>
      <c r="G43" s="12" t="n"/>
      <c r="H43" s="12" t="n"/>
      <c r="I43" s="17" t="n"/>
      <c r="J43" s="17" t="n"/>
      <c r="K43" s="12" t="n"/>
      <c r="L43" s="12" t="n"/>
      <c r="M43" s="12" t="n"/>
      <c r="N43" s="12" t="n"/>
      <c r="O43" s="12" t="n"/>
      <c r="P43" s="17" t="n"/>
      <c r="Q43" s="14">
        <f>IF(P43="","",TODAY()-P43)</f>
        <v/>
      </c>
      <c r="R43" s="12" t="n"/>
      <c r="S43" s="17" t="n"/>
      <c r="T43" s="12" t="n"/>
      <c r="U43" s="12" t="n"/>
      <c r="V43" s="12" t="n"/>
      <c r="W43" s="15" t="n"/>
      <c r="X43" s="12" t="n"/>
      <c r="Y43" s="12" t="n"/>
    </row>
    <row r="44">
      <c r="A44" s="11">
        <f>IF(B44="","",ROW()-7)</f>
        <v/>
      </c>
      <c r="B44" s="12" t="n"/>
      <c r="C44" s="12" t="n"/>
      <c r="D44" s="12" t="n"/>
      <c r="E44" s="12" t="n"/>
      <c r="F44" s="12" t="n"/>
      <c r="G44" s="12" t="n"/>
      <c r="H44" s="12" t="n"/>
      <c r="I44" s="17" t="n"/>
      <c r="J44" s="17" t="n"/>
      <c r="K44" s="12" t="n"/>
      <c r="L44" s="12" t="n"/>
      <c r="M44" s="12" t="n"/>
      <c r="N44" s="12" t="n"/>
      <c r="O44" s="12" t="n"/>
      <c r="P44" s="17" t="n"/>
      <c r="Q44" s="14">
        <f>IF(P44="","",TODAY()-P44)</f>
        <v/>
      </c>
      <c r="R44" s="12" t="n"/>
      <c r="S44" s="17" t="n"/>
      <c r="T44" s="12" t="n"/>
      <c r="U44" s="12" t="n"/>
      <c r="V44" s="12" t="n"/>
      <c r="W44" s="15" t="n"/>
      <c r="X44" s="12" t="n"/>
      <c r="Y44" s="12" t="n"/>
    </row>
    <row r="45">
      <c r="A45" s="11">
        <f>IF(B45="","",ROW()-7)</f>
        <v/>
      </c>
      <c r="B45" s="12" t="n"/>
      <c r="C45" s="12" t="n"/>
      <c r="D45" s="12" t="n"/>
      <c r="E45" s="12" t="n"/>
      <c r="F45" s="12" t="n"/>
      <c r="G45" s="12" t="n"/>
      <c r="H45" s="12" t="n"/>
      <c r="I45" s="17" t="n"/>
      <c r="J45" s="17" t="n"/>
      <c r="K45" s="12" t="n"/>
      <c r="L45" s="12" t="n"/>
      <c r="M45" s="12" t="n"/>
      <c r="N45" s="12" t="n"/>
      <c r="O45" s="12" t="n"/>
      <c r="P45" s="17" t="n"/>
      <c r="Q45" s="14">
        <f>IF(P45="","",TODAY()-P45)</f>
        <v/>
      </c>
      <c r="R45" s="12" t="n"/>
      <c r="S45" s="17" t="n"/>
      <c r="T45" s="12" t="n"/>
      <c r="U45" s="12" t="n"/>
      <c r="V45" s="12" t="n"/>
      <c r="W45" s="15" t="n"/>
      <c r="X45" s="12" t="n"/>
      <c r="Y45" s="12" t="n"/>
    </row>
    <row r="46">
      <c r="A46" s="11">
        <f>IF(B46="","",ROW()-7)</f>
        <v/>
      </c>
      <c r="B46" s="12" t="n"/>
      <c r="C46" s="12" t="n"/>
      <c r="D46" s="12" t="n"/>
      <c r="E46" s="12" t="n"/>
      <c r="F46" s="12" t="n"/>
      <c r="G46" s="12" t="n"/>
      <c r="H46" s="12" t="n"/>
      <c r="I46" s="17" t="n"/>
      <c r="J46" s="17" t="n"/>
      <c r="K46" s="12" t="n"/>
      <c r="L46" s="12" t="n"/>
      <c r="M46" s="12" t="n"/>
      <c r="N46" s="12" t="n"/>
      <c r="O46" s="12" t="n"/>
      <c r="P46" s="17" t="n"/>
      <c r="Q46" s="14">
        <f>IF(P46="","",TODAY()-P46)</f>
        <v/>
      </c>
      <c r="R46" s="12" t="n"/>
      <c r="S46" s="17" t="n"/>
      <c r="T46" s="12" t="n"/>
      <c r="U46" s="12" t="n"/>
      <c r="V46" s="12" t="n"/>
      <c r="W46" s="15" t="n"/>
      <c r="X46" s="12" t="n"/>
      <c r="Y46" s="12" t="n"/>
    </row>
    <row r="47">
      <c r="A47" s="11">
        <f>IF(B47="","",ROW()-7)</f>
        <v/>
      </c>
      <c r="B47" s="12" t="n"/>
      <c r="C47" s="12" t="n"/>
      <c r="D47" s="12" t="n"/>
      <c r="E47" s="12" t="n"/>
      <c r="F47" s="12" t="n"/>
      <c r="G47" s="12" t="n"/>
      <c r="H47" s="12" t="n"/>
      <c r="I47" s="17" t="n"/>
      <c r="J47" s="17" t="n"/>
      <c r="K47" s="12" t="n"/>
      <c r="L47" s="12" t="n"/>
      <c r="M47" s="12" t="n"/>
      <c r="N47" s="12" t="n"/>
      <c r="O47" s="12" t="n"/>
      <c r="P47" s="17" t="n"/>
      <c r="Q47" s="14">
        <f>IF(P47="","",TODAY()-P47)</f>
        <v/>
      </c>
      <c r="R47" s="12" t="n"/>
      <c r="S47" s="17" t="n"/>
      <c r="T47" s="12" t="n"/>
      <c r="U47" s="12" t="n"/>
      <c r="V47" s="12" t="n"/>
      <c r="W47" s="15" t="n"/>
      <c r="X47" s="12" t="n"/>
      <c r="Y47" s="12" t="n"/>
    </row>
    <row r="48">
      <c r="A48" s="11">
        <f>IF(B48="","",ROW()-7)</f>
        <v/>
      </c>
      <c r="B48" s="12" t="n"/>
      <c r="C48" s="12" t="n"/>
      <c r="D48" s="12" t="n"/>
      <c r="E48" s="12" t="n"/>
      <c r="F48" s="12" t="n"/>
      <c r="G48" s="12" t="n"/>
      <c r="H48" s="12" t="n"/>
      <c r="I48" s="17" t="n"/>
      <c r="J48" s="17" t="n"/>
      <c r="K48" s="12" t="n"/>
      <c r="L48" s="12" t="n"/>
      <c r="M48" s="12" t="n"/>
      <c r="N48" s="12" t="n"/>
      <c r="O48" s="12" t="n"/>
      <c r="P48" s="17" t="n"/>
      <c r="Q48" s="14">
        <f>IF(P48="","",TODAY()-P48)</f>
        <v/>
      </c>
      <c r="R48" s="12" t="n"/>
      <c r="S48" s="17" t="n"/>
      <c r="T48" s="12" t="n"/>
      <c r="U48" s="12" t="n"/>
      <c r="V48" s="12" t="n"/>
      <c r="W48" s="15" t="n"/>
      <c r="X48" s="12" t="n"/>
      <c r="Y48" s="12" t="n"/>
    </row>
    <row r="49">
      <c r="A49" s="11">
        <f>IF(B49="","",ROW()-7)</f>
        <v/>
      </c>
      <c r="B49" s="12" t="n"/>
      <c r="C49" s="12" t="n"/>
      <c r="D49" s="12" t="n"/>
      <c r="E49" s="12" t="n"/>
      <c r="F49" s="12" t="n"/>
      <c r="G49" s="12" t="n"/>
      <c r="H49" s="12" t="n"/>
      <c r="I49" s="17" t="n"/>
      <c r="J49" s="17" t="n"/>
      <c r="K49" s="12" t="n"/>
      <c r="L49" s="12" t="n"/>
      <c r="M49" s="12" t="n"/>
      <c r="N49" s="12" t="n"/>
      <c r="O49" s="12" t="n"/>
      <c r="P49" s="17" t="n"/>
      <c r="Q49" s="14">
        <f>IF(P49="","",TODAY()-P49)</f>
        <v/>
      </c>
      <c r="R49" s="12" t="n"/>
      <c r="S49" s="17" t="n"/>
      <c r="T49" s="12" t="n"/>
      <c r="U49" s="12" t="n"/>
      <c r="V49" s="12" t="n"/>
      <c r="W49" s="15" t="n"/>
      <c r="X49" s="12" t="n"/>
      <c r="Y49" s="12" t="n"/>
    </row>
    <row r="50">
      <c r="A50" s="11">
        <f>IF(B50="","",ROW()-7)</f>
        <v/>
      </c>
      <c r="B50" s="12" t="n"/>
      <c r="C50" s="12" t="n"/>
      <c r="D50" s="12" t="n"/>
      <c r="E50" s="12" t="n"/>
      <c r="F50" s="12" t="n"/>
      <c r="G50" s="12" t="n"/>
      <c r="H50" s="12" t="n"/>
      <c r="I50" s="17" t="n"/>
      <c r="J50" s="17" t="n"/>
      <c r="K50" s="12" t="n"/>
      <c r="L50" s="12" t="n"/>
      <c r="M50" s="12" t="n"/>
      <c r="N50" s="12" t="n"/>
      <c r="O50" s="12" t="n"/>
      <c r="P50" s="17" t="n"/>
      <c r="Q50" s="14">
        <f>IF(P50="","",TODAY()-P50)</f>
        <v/>
      </c>
      <c r="R50" s="12" t="n"/>
      <c r="S50" s="17" t="n"/>
      <c r="T50" s="12" t="n"/>
      <c r="U50" s="12" t="n"/>
      <c r="V50" s="12" t="n"/>
      <c r="W50" s="15" t="n"/>
      <c r="X50" s="12" t="n"/>
      <c r="Y50" s="12" t="n"/>
    </row>
    <row r="51">
      <c r="A51" s="11">
        <f>IF(B51="","",ROW()-7)</f>
        <v/>
      </c>
      <c r="B51" s="12" t="n"/>
      <c r="C51" s="12" t="n"/>
      <c r="D51" s="12" t="n"/>
      <c r="E51" s="12" t="n"/>
      <c r="F51" s="12" t="n"/>
      <c r="G51" s="12" t="n"/>
      <c r="H51" s="12" t="n"/>
      <c r="I51" s="17" t="n"/>
      <c r="J51" s="17" t="n"/>
      <c r="K51" s="12" t="n"/>
      <c r="L51" s="12" t="n"/>
      <c r="M51" s="12" t="n"/>
      <c r="N51" s="12" t="n"/>
      <c r="O51" s="12" t="n"/>
      <c r="P51" s="17" t="n"/>
      <c r="Q51" s="14">
        <f>IF(P51="","",TODAY()-P51)</f>
        <v/>
      </c>
      <c r="R51" s="12" t="n"/>
      <c r="S51" s="17" t="n"/>
      <c r="T51" s="12" t="n"/>
      <c r="U51" s="12" t="n"/>
      <c r="V51" s="12" t="n"/>
      <c r="W51" s="15" t="n"/>
      <c r="X51" s="12" t="n"/>
      <c r="Y51" s="12" t="n"/>
    </row>
    <row r="52">
      <c r="A52" s="11">
        <f>IF(B52="","",ROW()-7)</f>
        <v/>
      </c>
      <c r="B52" s="12" t="n"/>
      <c r="C52" s="12" t="n"/>
      <c r="D52" s="12" t="n"/>
      <c r="E52" s="12" t="n"/>
      <c r="F52" s="12" t="n"/>
      <c r="G52" s="12" t="n"/>
      <c r="H52" s="12" t="n"/>
      <c r="I52" s="17" t="n"/>
      <c r="J52" s="17" t="n"/>
      <c r="K52" s="12" t="n"/>
      <c r="L52" s="12" t="n"/>
      <c r="M52" s="12" t="n"/>
      <c r="N52" s="12" t="n"/>
      <c r="O52" s="12" t="n"/>
      <c r="P52" s="17" t="n"/>
      <c r="Q52" s="14">
        <f>IF(P52="","",TODAY()-P52)</f>
        <v/>
      </c>
      <c r="R52" s="12" t="n"/>
      <c r="S52" s="17" t="n"/>
      <c r="T52" s="12" t="n"/>
      <c r="U52" s="12" t="n"/>
      <c r="V52" s="12" t="n"/>
      <c r="W52" s="15" t="n"/>
      <c r="X52" s="12" t="n"/>
      <c r="Y52" s="12" t="n"/>
    </row>
    <row r="53">
      <c r="A53" s="11">
        <f>IF(B53="","",ROW()-7)</f>
        <v/>
      </c>
      <c r="B53" s="12" t="n"/>
      <c r="C53" s="12" t="n"/>
      <c r="D53" s="12" t="n"/>
      <c r="E53" s="12" t="n"/>
      <c r="F53" s="12" t="n"/>
      <c r="G53" s="12" t="n"/>
      <c r="H53" s="12" t="n"/>
      <c r="I53" s="17" t="n"/>
      <c r="J53" s="17" t="n"/>
      <c r="K53" s="12" t="n"/>
      <c r="L53" s="12" t="n"/>
      <c r="M53" s="12" t="n"/>
      <c r="N53" s="12" t="n"/>
      <c r="O53" s="12" t="n"/>
      <c r="P53" s="17" t="n"/>
      <c r="Q53" s="14">
        <f>IF(P53="","",TODAY()-P53)</f>
        <v/>
      </c>
      <c r="R53" s="12" t="n"/>
      <c r="S53" s="17" t="n"/>
      <c r="T53" s="12" t="n"/>
      <c r="U53" s="12" t="n"/>
      <c r="V53" s="12" t="n"/>
      <c r="W53" s="15" t="n"/>
      <c r="X53" s="12" t="n"/>
      <c r="Y53" s="12" t="n"/>
    </row>
    <row r="54">
      <c r="A54" s="11">
        <f>IF(B54="","",ROW()-7)</f>
        <v/>
      </c>
      <c r="B54" s="12" t="n"/>
      <c r="C54" s="12" t="n"/>
      <c r="D54" s="12" t="n"/>
      <c r="E54" s="12" t="n"/>
      <c r="F54" s="12" t="n"/>
      <c r="G54" s="12" t="n"/>
      <c r="H54" s="12" t="n"/>
      <c r="I54" s="17" t="n"/>
      <c r="J54" s="17" t="n"/>
      <c r="K54" s="12" t="n"/>
      <c r="L54" s="12" t="n"/>
      <c r="M54" s="12" t="n"/>
      <c r="N54" s="12" t="n"/>
      <c r="O54" s="12" t="n"/>
      <c r="P54" s="17" t="n"/>
      <c r="Q54" s="14">
        <f>IF(P54="","",TODAY()-P54)</f>
        <v/>
      </c>
      <c r="R54" s="12" t="n"/>
      <c r="S54" s="17" t="n"/>
      <c r="T54" s="12" t="n"/>
      <c r="U54" s="12" t="n"/>
      <c r="V54" s="12" t="n"/>
      <c r="W54" s="15" t="n"/>
      <c r="X54" s="12" t="n"/>
      <c r="Y54" s="12" t="n"/>
    </row>
    <row r="55">
      <c r="A55" s="11">
        <f>IF(B55="","",ROW()-7)</f>
        <v/>
      </c>
      <c r="B55" s="12" t="n"/>
      <c r="C55" s="12" t="n"/>
      <c r="D55" s="12" t="n"/>
      <c r="E55" s="12" t="n"/>
      <c r="F55" s="12" t="n"/>
      <c r="G55" s="12" t="n"/>
      <c r="H55" s="12" t="n"/>
      <c r="I55" s="17" t="n"/>
      <c r="J55" s="17" t="n"/>
      <c r="K55" s="12" t="n"/>
      <c r="L55" s="12" t="n"/>
      <c r="M55" s="12" t="n"/>
      <c r="N55" s="12" t="n"/>
      <c r="O55" s="12" t="n"/>
      <c r="P55" s="17" t="n"/>
      <c r="Q55" s="14">
        <f>IF(P55="","",TODAY()-P55)</f>
        <v/>
      </c>
      <c r="R55" s="12" t="n"/>
      <c r="S55" s="17" t="n"/>
      <c r="T55" s="12" t="n"/>
      <c r="U55" s="12" t="n"/>
      <c r="V55" s="12" t="n"/>
      <c r="W55" s="15" t="n"/>
      <c r="X55" s="12" t="n"/>
      <c r="Y55" s="12" t="n"/>
    </row>
    <row r="56">
      <c r="A56" s="11">
        <f>IF(B56="","",ROW()-7)</f>
        <v/>
      </c>
      <c r="B56" s="12" t="n"/>
      <c r="C56" s="12" t="n"/>
      <c r="D56" s="12" t="n"/>
      <c r="E56" s="12" t="n"/>
      <c r="F56" s="12" t="n"/>
      <c r="G56" s="12" t="n"/>
      <c r="H56" s="12" t="n"/>
      <c r="I56" s="17" t="n"/>
      <c r="J56" s="17" t="n"/>
      <c r="K56" s="12" t="n"/>
      <c r="L56" s="12" t="n"/>
      <c r="M56" s="12" t="n"/>
      <c r="N56" s="12" t="n"/>
      <c r="O56" s="12" t="n"/>
      <c r="P56" s="17" t="n"/>
      <c r="Q56" s="14">
        <f>IF(P56="","",TODAY()-P56)</f>
        <v/>
      </c>
      <c r="R56" s="12" t="n"/>
      <c r="S56" s="17" t="n"/>
      <c r="T56" s="12" t="n"/>
      <c r="U56" s="12" t="n"/>
      <c r="V56" s="12" t="n"/>
      <c r="W56" s="15" t="n"/>
      <c r="X56" s="12" t="n"/>
      <c r="Y56" s="12" t="n"/>
    </row>
    <row r="57">
      <c r="A57" s="11">
        <f>IF(B57="","",ROW()-7)</f>
        <v/>
      </c>
      <c r="B57" s="12" t="n"/>
      <c r="C57" s="12" t="n"/>
      <c r="D57" s="12" t="n"/>
      <c r="E57" s="12" t="n"/>
      <c r="F57" s="12" t="n"/>
      <c r="G57" s="12" t="n"/>
      <c r="H57" s="12" t="n"/>
      <c r="I57" s="17" t="n"/>
      <c r="J57" s="17" t="n"/>
      <c r="K57" s="12" t="n"/>
      <c r="L57" s="12" t="n"/>
      <c r="M57" s="12" t="n"/>
      <c r="N57" s="12" t="n"/>
      <c r="O57" s="12" t="n"/>
      <c r="P57" s="17" t="n"/>
      <c r="Q57" s="14">
        <f>IF(P57="","",TODAY()-P57)</f>
        <v/>
      </c>
      <c r="R57" s="12" t="n"/>
      <c r="S57" s="17" t="n"/>
      <c r="T57" s="12" t="n"/>
      <c r="U57" s="12" t="n"/>
      <c r="V57" s="12" t="n"/>
      <c r="W57" s="15" t="n"/>
      <c r="X57" s="12" t="n"/>
      <c r="Y57" s="12" t="n"/>
    </row>
    <row r="58">
      <c r="A58" s="11">
        <f>IF(B58="","",ROW()-7)</f>
        <v/>
      </c>
      <c r="B58" s="12" t="n"/>
      <c r="C58" s="12" t="n"/>
      <c r="D58" s="12" t="n"/>
      <c r="E58" s="12" t="n"/>
      <c r="F58" s="12" t="n"/>
      <c r="G58" s="12" t="n"/>
      <c r="H58" s="12" t="n"/>
      <c r="I58" s="17" t="n"/>
      <c r="J58" s="17" t="n"/>
      <c r="K58" s="12" t="n"/>
      <c r="L58" s="12" t="n"/>
      <c r="M58" s="12" t="n"/>
      <c r="N58" s="12" t="n"/>
      <c r="O58" s="12" t="n"/>
      <c r="P58" s="17" t="n"/>
      <c r="Q58" s="14">
        <f>IF(P58="","",TODAY()-P58)</f>
        <v/>
      </c>
      <c r="R58" s="12" t="n"/>
      <c r="S58" s="17" t="n"/>
      <c r="T58" s="12" t="n"/>
      <c r="U58" s="12" t="n"/>
      <c r="V58" s="12" t="n"/>
      <c r="W58" s="15" t="n"/>
      <c r="X58" s="12" t="n"/>
      <c r="Y58" s="12" t="n"/>
    </row>
    <row r="59">
      <c r="A59" s="11">
        <f>IF(B59="","",ROW()-7)</f>
        <v/>
      </c>
      <c r="B59" s="12" t="n"/>
      <c r="C59" s="12" t="n"/>
      <c r="D59" s="12" t="n"/>
      <c r="E59" s="12" t="n"/>
      <c r="F59" s="12" t="n"/>
      <c r="G59" s="12" t="n"/>
      <c r="H59" s="12" t="n"/>
      <c r="I59" s="17" t="n"/>
      <c r="J59" s="17" t="n"/>
      <c r="K59" s="12" t="n"/>
      <c r="L59" s="12" t="n"/>
      <c r="M59" s="12" t="n"/>
      <c r="N59" s="12" t="n"/>
      <c r="O59" s="12" t="n"/>
      <c r="P59" s="17" t="n"/>
      <c r="Q59" s="14">
        <f>IF(P59="","",TODAY()-P59)</f>
        <v/>
      </c>
      <c r="R59" s="12" t="n"/>
      <c r="S59" s="17" t="n"/>
      <c r="T59" s="12" t="n"/>
      <c r="U59" s="12" t="n"/>
      <c r="V59" s="12" t="n"/>
      <c r="W59" s="15" t="n"/>
      <c r="X59" s="12" t="n"/>
      <c r="Y59" s="12" t="n"/>
    </row>
    <row r="60">
      <c r="A60" s="11">
        <f>IF(B60="","",ROW()-7)</f>
        <v/>
      </c>
      <c r="B60" s="12" t="n"/>
      <c r="C60" s="12" t="n"/>
      <c r="D60" s="12" t="n"/>
      <c r="E60" s="12" t="n"/>
      <c r="F60" s="12" t="n"/>
      <c r="G60" s="12" t="n"/>
      <c r="H60" s="12" t="n"/>
      <c r="I60" s="17" t="n"/>
      <c r="J60" s="17" t="n"/>
      <c r="K60" s="12" t="n"/>
      <c r="L60" s="12" t="n"/>
      <c r="M60" s="12" t="n"/>
      <c r="N60" s="12" t="n"/>
      <c r="O60" s="12" t="n"/>
      <c r="P60" s="17" t="n"/>
      <c r="Q60" s="14">
        <f>IF(P60="","",TODAY()-P60)</f>
        <v/>
      </c>
      <c r="R60" s="12" t="n"/>
      <c r="S60" s="17" t="n"/>
      <c r="T60" s="12" t="n"/>
      <c r="U60" s="12" t="n"/>
      <c r="V60" s="12" t="n"/>
      <c r="W60" s="15" t="n"/>
      <c r="X60" s="12" t="n"/>
      <c r="Y60" s="12" t="n"/>
    </row>
    <row r="61">
      <c r="A61" s="11">
        <f>IF(B61="","",ROW()-7)</f>
        <v/>
      </c>
      <c r="B61" s="12" t="n"/>
      <c r="C61" s="12" t="n"/>
      <c r="D61" s="12" t="n"/>
      <c r="E61" s="12" t="n"/>
      <c r="F61" s="12" t="n"/>
      <c r="G61" s="12" t="n"/>
      <c r="H61" s="12" t="n"/>
      <c r="I61" s="17" t="n"/>
      <c r="J61" s="17" t="n"/>
      <c r="K61" s="12" t="n"/>
      <c r="L61" s="12" t="n"/>
      <c r="M61" s="12" t="n"/>
      <c r="N61" s="12" t="n"/>
      <c r="O61" s="12" t="n"/>
      <c r="P61" s="17" t="n"/>
      <c r="Q61" s="14">
        <f>IF(P61="","",TODAY()-P61)</f>
        <v/>
      </c>
      <c r="R61" s="12" t="n"/>
      <c r="S61" s="17" t="n"/>
      <c r="T61" s="12" t="n"/>
      <c r="U61" s="12" t="n"/>
      <c r="V61" s="12" t="n"/>
      <c r="W61" s="15" t="n"/>
      <c r="X61" s="12" t="n"/>
      <c r="Y61" s="12" t="n"/>
    </row>
    <row r="62">
      <c r="A62" s="11">
        <f>IF(B62="","",ROW()-7)</f>
        <v/>
      </c>
      <c r="B62" s="12" t="n"/>
      <c r="C62" s="12" t="n"/>
      <c r="D62" s="12" t="n"/>
      <c r="E62" s="12" t="n"/>
      <c r="F62" s="12" t="n"/>
      <c r="G62" s="12" t="n"/>
      <c r="H62" s="12" t="n"/>
      <c r="I62" s="17" t="n"/>
      <c r="J62" s="17" t="n"/>
      <c r="K62" s="12" t="n"/>
      <c r="L62" s="12" t="n"/>
      <c r="M62" s="12" t="n"/>
      <c r="N62" s="12" t="n"/>
      <c r="O62" s="12" t="n"/>
      <c r="P62" s="17" t="n"/>
      <c r="Q62" s="14">
        <f>IF(P62="","",TODAY()-P62)</f>
        <v/>
      </c>
      <c r="R62" s="12" t="n"/>
      <c r="S62" s="17" t="n"/>
      <c r="T62" s="12" t="n"/>
      <c r="U62" s="12" t="n"/>
      <c r="V62" s="12" t="n"/>
      <c r="W62" s="15" t="n"/>
      <c r="X62" s="12" t="n"/>
      <c r="Y62" s="12" t="n"/>
    </row>
    <row r="63">
      <c r="A63" s="11">
        <f>IF(B63="","",ROW()-7)</f>
        <v/>
      </c>
      <c r="B63" s="12" t="n"/>
      <c r="C63" s="12" t="n"/>
      <c r="D63" s="12" t="n"/>
      <c r="E63" s="12" t="n"/>
      <c r="F63" s="12" t="n"/>
      <c r="G63" s="12" t="n"/>
      <c r="H63" s="12" t="n"/>
      <c r="I63" s="17" t="n"/>
      <c r="J63" s="17" t="n"/>
      <c r="K63" s="12" t="n"/>
      <c r="L63" s="12" t="n"/>
      <c r="M63" s="12" t="n"/>
      <c r="N63" s="12" t="n"/>
      <c r="O63" s="12" t="n"/>
      <c r="P63" s="17" t="n"/>
      <c r="Q63" s="14">
        <f>IF(P63="","",TODAY()-P63)</f>
        <v/>
      </c>
      <c r="R63" s="12" t="n"/>
      <c r="S63" s="17" t="n"/>
      <c r="T63" s="12" t="n"/>
      <c r="U63" s="12" t="n"/>
      <c r="V63" s="12" t="n"/>
      <c r="W63" s="15" t="n"/>
      <c r="X63" s="12" t="n"/>
      <c r="Y63" s="12" t="n"/>
    </row>
    <row r="64">
      <c r="A64" s="11">
        <f>IF(B64="","",ROW()-7)</f>
        <v/>
      </c>
      <c r="B64" s="12" t="n"/>
      <c r="C64" s="12" t="n"/>
      <c r="D64" s="12" t="n"/>
      <c r="E64" s="12" t="n"/>
      <c r="F64" s="12" t="n"/>
      <c r="G64" s="12" t="n"/>
      <c r="H64" s="12" t="n"/>
      <c r="I64" s="17" t="n"/>
      <c r="J64" s="17" t="n"/>
      <c r="K64" s="12" t="n"/>
      <c r="L64" s="12" t="n"/>
      <c r="M64" s="12" t="n"/>
      <c r="N64" s="12" t="n"/>
      <c r="O64" s="12" t="n"/>
      <c r="P64" s="17" t="n"/>
      <c r="Q64" s="14">
        <f>IF(P64="","",TODAY()-P64)</f>
        <v/>
      </c>
      <c r="R64" s="12" t="n"/>
      <c r="S64" s="17" t="n"/>
      <c r="T64" s="12" t="n"/>
      <c r="U64" s="12" t="n"/>
      <c r="V64" s="12" t="n"/>
      <c r="W64" s="15" t="n"/>
      <c r="X64" s="12" t="n"/>
      <c r="Y64" s="12" t="n"/>
    </row>
    <row r="65">
      <c r="A65" s="11">
        <f>IF(B65="","",ROW()-7)</f>
        <v/>
      </c>
      <c r="B65" s="12" t="n"/>
      <c r="C65" s="12" t="n"/>
      <c r="D65" s="12" t="n"/>
      <c r="E65" s="12" t="n"/>
      <c r="F65" s="12" t="n"/>
      <c r="G65" s="12" t="n"/>
      <c r="H65" s="12" t="n"/>
      <c r="I65" s="17" t="n"/>
      <c r="J65" s="17" t="n"/>
      <c r="K65" s="12" t="n"/>
      <c r="L65" s="12" t="n"/>
      <c r="M65" s="12" t="n"/>
      <c r="N65" s="12" t="n"/>
      <c r="O65" s="12" t="n"/>
      <c r="P65" s="17" t="n"/>
      <c r="Q65" s="14">
        <f>IF(P65="","",TODAY()-P65)</f>
        <v/>
      </c>
      <c r="R65" s="12" t="n"/>
      <c r="S65" s="17" t="n"/>
      <c r="T65" s="12" t="n"/>
      <c r="U65" s="12" t="n"/>
      <c r="V65" s="12" t="n"/>
      <c r="W65" s="15" t="n"/>
      <c r="X65" s="12" t="n"/>
      <c r="Y65" s="12" t="n"/>
    </row>
    <row r="66">
      <c r="A66" s="11">
        <f>IF(B66="","",ROW()-7)</f>
        <v/>
      </c>
      <c r="B66" s="12" t="n"/>
      <c r="C66" s="12" t="n"/>
      <c r="D66" s="12" t="n"/>
      <c r="E66" s="12" t="n"/>
      <c r="F66" s="12" t="n"/>
      <c r="G66" s="12" t="n"/>
      <c r="H66" s="12" t="n"/>
      <c r="I66" s="17" t="n"/>
      <c r="J66" s="17" t="n"/>
      <c r="K66" s="12" t="n"/>
      <c r="L66" s="12" t="n"/>
      <c r="M66" s="12" t="n"/>
      <c r="N66" s="12" t="n"/>
      <c r="O66" s="12" t="n"/>
      <c r="P66" s="17" t="n"/>
      <c r="Q66" s="14">
        <f>IF(P66="","",TODAY()-P66)</f>
        <v/>
      </c>
      <c r="R66" s="12" t="n"/>
      <c r="S66" s="17" t="n"/>
      <c r="T66" s="12" t="n"/>
      <c r="U66" s="12" t="n"/>
      <c r="V66" s="12" t="n"/>
      <c r="W66" s="15" t="n"/>
      <c r="X66" s="12" t="n"/>
      <c r="Y66" s="12" t="n"/>
    </row>
    <row r="67">
      <c r="A67" s="11">
        <f>IF(B67="","",ROW()-7)</f>
        <v/>
      </c>
      <c r="B67" s="12" t="n"/>
      <c r="C67" s="12" t="n"/>
      <c r="D67" s="12" t="n"/>
      <c r="E67" s="12" t="n"/>
      <c r="F67" s="12" t="n"/>
      <c r="G67" s="12" t="n"/>
      <c r="H67" s="12" t="n"/>
      <c r="I67" s="17" t="n"/>
      <c r="J67" s="17" t="n"/>
      <c r="K67" s="12" t="n"/>
      <c r="L67" s="12" t="n"/>
      <c r="M67" s="12" t="n"/>
      <c r="N67" s="12" t="n"/>
      <c r="O67" s="12" t="n"/>
      <c r="P67" s="17" t="n"/>
      <c r="Q67" s="14">
        <f>IF(P67="","",TODAY()-P67)</f>
        <v/>
      </c>
      <c r="R67" s="12" t="n"/>
      <c r="S67" s="17" t="n"/>
      <c r="T67" s="12" t="n"/>
      <c r="U67" s="12" t="n"/>
      <c r="V67" s="12" t="n"/>
      <c r="W67" s="15" t="n"/>
      <c r="X67" s="12" t="n"/>
      <c r="Y67" s="12" t="n"/>
    </row>
    <row r="68">
      <c r="A68" s="11">
        <f>IF(B68="","",ROW()-7)</f>
        <v/>
      </c>
      <c r="B68" s="12" t="n"/>
      <c r="C68" s="12" t="n"/>
      <c r="D68" s="12" t="n"/>
      <c r="E68" s="12" t="n"/>
      <c r="F68" s="12" t="n"/>
      <c r="G68" s="12" t="n"/>
      <c r="H68" s="12" t="n"/>
      <c r="I68" s="17" t="n"/>
      <c r="J68" s="17" t="n"/>
      <c r="K68" s="12" t="n"/>
      <c r="L68" s="12" t="n"/>
      <c r="M68" s="12" t="n"/>
      <c r="N68" s="12" t="n"/>
      <c r="O68" s="12" t="n"/>
      <c r="P68" s="17" t="n"/>
      <c r="Q68" s="14">
        <f>IF(P68="","",TODAY()-P68)</f>
        <v/>
      </c>
      <c r="R68" s="12" t="n"/>
      <c r="S68" s="17" t="n"/>
      <c r="T68" s="12" t="n"/>
      <c r="U68" s="12" t="n"/>
      <c r="V68" s="12" t="n"/>
      <c r="W68" s="15" t="n"/>
      <c r="X68" s="12" t="n"/>
      <c r="Y68" s="12" t="n"/>
    </row>
    <row r="69">
      <c r="A69" s="11">
        <f>IF(B69="","",ROW()-7)</f>
        <v/>
      </c>
      <c r="B69" s="12" t="n"/>
      <c r="C69" s="12" t="n"/>
      <c r="D69" s="12" t="n"/>
      <c r="E69" s="12" t="n"/>
      <c r="F69" s="12" t="n"/>
      <c r="G69" s="12" t="n"/>
      <c r="H69" s="12" t="n"/>
      <c r="I69" s="17" t="n"/>
      <c r="J69" s="17" t="n"/>
      <c r="K69" s="12" t="n"/>
      <c r="L69" s="12" t="n"/>
      <c r="M69" s="12" t="n"/>
      <c r="N69" s="12" t="n"/>
      <c r="O69" s="12" t="n"/>
      <c r="P69" s="17" t="n"/>
      <c r="Q69" s="14">
        <f>IF(P69="","",TODAY()-P69)</f>
        <v/>
      </c>
      <c r="R69" s="12" t="n"/>
      <c r="S69" s="17" t="n"/>
      <c r="T69" s="12" t="n"/>
      <c r="U69" s="12" t="n"/>
      <c r="V69" s="12" t="n"/>
      <c r="W69" s="15" t="n"/>
      <c r="X69" s="12" t="n"/>
      <c r="Y69" s="12" t="n"/>
    </row>
    <row r="70">
      <c r="A70" s="11">
        <f>IF(B70="","",ROW()-7)</f>
        <v/>
      </c>
      <c r="B70" s="12" t="n"/>
      <c r="C70" s="12" t="n"/>
      <c r="D70" s="12" t="n"/>
      <c r="E70" s="12" t="n"/>
      <c r="F70" s="12" t="n"/>
      <c r="G70" s="12" t="n"/>
      <c r="H70" s="12" t="n"/>
      <c r="I70" s="17" t="n"/>
      <c r="J70" s="17" t="n"/>
      <c r="K70" s="12" t="n"/>
      <c r="L70" s="12" t="n"/>
      <c r="M70" s="12" t="n"/>
      <c r="N70" s="12" t="n"/>
      <c r="O70" s="12" t="n"/>
      <c r="P70" s="17" t="n"/>
      <c r="Q70" s="14">
        <f>IF(P70="","",TODAY()-P70)</f>
        <v/>
      </c>
      <c r="R70" s="12" t="n"/>
      <c r="S70" s="17" t="n"/>
      <c r="T70" s="12" t="n"/>
      <c r="U70" s="12" t="n"/>
      <c r="V70" s="12" t="n"/>
      <c r="W70" s="15" t="n"/>
      <c r="X70" s="12" t="n"/>
      <c r="Y70" s="12" t="n"/>
    </row>
    <row r="71">
      <c r="A71" s="11">
        <f>IF(B71="","",ROW()-7)</f>
        <v/>
      </c>
      <c r="B71" s="12" t="n"/>
      <c r="C71" s="12" t="n"/>
      <c r="D71" s="12" t="n"/>
      <c r="E71" s="12" t="n"/>
      <c r="F71" s="12" t="n"/>
      <c r="G71" s="12" t="n"/>
      <c r="H71" s="12" t="n"/>
      <c r="I71" s="17" t="n"/>
      <c r="J71" s="17" t="n"/>
      <c r="K71" s="12" t="n"/>
      <c r="L71" s="12" t="n"/>
      <c r="M71" s="12" t="n"/>
      <c r="N71" s="12" t="n"/>
      <c r="O71" s="12" t="n"/>
      <c r="P71" s="17" t="n"/>
      <c r="Q71" s="14">
        <f>IF(P71="","",TODAY()-P71)</f>
        <v/>
      </c>
      <c r="R71" s="12" t="n"/>
      <c r="S71" s="17" t="n"/>
      <c r="T71" s="12" t="n"/>
      <c r="U71" s="12" t="n"/>
      <c r="V71" s="12" t="n"/>
      <c r="W71" s="15" t="n"/>
      <c r="X71" s="12" t="n"/>
      <c r="Y71" s="12" t="n"/>
    </row>
    <row r="72">
      <c r="A72" s="11">
        <f>IF(B72="","",ROW()-7)</f>
        <v/>
      </c>
      <c r="B72" s="12" t="n"/>
      <c r="C72" s="12" t="n"/>
      <c r="D72" s="12" t="n"/>
      <c r="E72" s="12" t="n"/>
      <c r="F72" s="12" t="n"/>
      <c r="G72" s="12" t="n"/>
      <c r="H72" s="12" t="n"/>
      <c r="I72" s="17" t="n"/>
      <c r="J72" s="17" t="n"/>
      <c r="K72" s="12" t="n"/>
      <c r="L72" s="12" t="n"/>
      <c r="M72" s="12" t="n"/>
      <c r="N72" s="12" t="n"/>
      <c r="O72" s="12" t="n"/>
      <c r="P72" s="17" t="n"/>
      <c r="Q72" s="14">
        <f>IF(P72="","",TODAY()-P72)</f>
        <v/>
      </c>
      <c r="R72" s="12" t="n"/>
      <c r="S72" s="17" t="n"/>
      <c r="T72" s="12" t="n"/>
      <c r="U72" s="12" t="n"/>
      <c r="V72" s="12" t="n"/>
      <c r="W72" s="15" t="n"/>
      <c r="X72" s="12" t="n"/>
      <c r="Y72" s="12" t="n"/>
    </row>
    <row r="73">
      <c r="A73" s="11">
        <f>IF(B73="","",ROW()-7)</f>
        <v/>
      </c>
      <c r="B73" s="12" t="n"/>
      <c r="C73" s="12" t="n"/>
      <c r="D73" s="12" t="n"/>
      <c r="E73" s="12" t="n"/>
      <c r="F73" s="12" t="n"/>
      <c r="G73" s="12" t="n"/>
      <c r="H73" s="12" t="n"/>
      <c r="I73" s="17" t="n"/>
      <c r="J73" s="17" t="n"/>
      <c r="K73" s="12" t="n"/>
      <c r="L73" s="12" t="n"/>
      <c r="M73" s="12" t="n"/>
      <c r="N73" s="12" t="n"/>
      <c r="O73" s="12" t="n"/>
      <c r="P73" s="17" t="n"/>
      <c r="Q73" s="14">
        <f>IF(P73="","",TODAY()-P73)</f>
        <v/>
      </c>
      <c r="R73" s="12" t="n"/>
      <c r="S73" s="17" t="n"/>
      <c r="T73" s="12" t="n"/>
      <c r="U73" s="12" t="n"/>
      <c r="V73" s="12" t="n"/>
      <c r="W73" s="15" t="n"/>
      <c r="X73" s="12" t="n"/>
      <c r="Y73" s="12" t="n"/>
    </row>
    <row r="74">
      <c r="A74" s="11">
        <f>IF(B74="","",ROW()-7)</f>
        <v/>
      </c>
      <c r="B74" s="12" t="n"/>
      <c r="C74" s="12" t="n"/>
      <c r="D74" s="12" t="n"/>
      <c r="E74" s="12" t="n"/>
      <c r="F74" s="12" t="n"/>
      <c r="G74" s="12" t="n"/>
      <c r="H74" s="12" t="n"/>
      <c r="I74" s="17" t="n"/>
      <c r="J74" s="17" t="n"/>
      <c r="K74" s="12" t="n"/>
      <c r="L74" s="12" t="n"/>
      <c r="M74" s="12" t="n"/>
      <c r="N74" s="12" t="n"/>
      <c r="O74" s="12" t="n"/>
      <c r="P74" s="17" t="n"/>
      <c r="Q74" s="14">
        <f>IF(P74="","",TODAY()-P74)</f>
        <v/>
      </c>
      <c r="R74" s="12" t="n"/>
      <c r="S74" s="17" t="n"/>
      <c r="T74" s="12" t="n"/>
      <c r="U74" s="12" t="n"/>
      <c r="V74" s="12" t="n"/>
      <c r="W74" s="15" t="n"/>
      <c r="X74" s="12" t="n"/>
      <c r="Y74" s="12" t="n"/>
    </row>
    <row r="75">
      <c r="A75" s="11">
        <f>IF(B75="","",ROW()-7)</f>
        <v/>
      </c>
      <c r="B75" s="12" t="n"/>
      <c r="C75" s="12" t="n"/>
      <c r="D75" s="12" t="n"/>
      <c r="E75" s="12" t="n"/>
      <c r="F75" s="12" t="n"/>
      <c r="G75" s="12" t="n"/>
      <c r="H75" s="12" t="n"/>
      <c r="I75" s="17" t="n"/>
      <c r="J75" s="17" t="n"/>
      <c r="K75" s="12" t="n"/>
      <c r="L75" s="12" t="n"/>
      <c r="M75" s="12" t="n"/>
      <c r="N75" s="12" t="n"/>
      <c r="O75" s="12" t="n"/>
      <c r="P75" s="17" t="n"/>
      <c r="Q75" s="14">
        <f>IF(P75="","",TODAY()-P75)</f>
        <v/>
      </c>
      <c r="R75" s="12" t="n"/>
      <c r="S75" s="17" t="n"/>
      <c r="T75" s="12" t="n"/>
      <c r="U75" s="12" t="n"/>
      <c r="V75" s="12" t="n"/>
      <c r="W75" s="15" t="n"/>
      <c r="X75" s="12" t="n"/>
      <c r="Y75" s="12" t="n"/>
    </row>
    <row r="76">
      <c r="A76" s="11">
        <f>IF(B76="","",ROW()-7)</f>
        <v/>
      </c>
      <c r="B76" s="12" t="n"/>
      <c r="C76" s="12" t="n"/>
      <c r="D76" s="12" t="n"/>
      <c r="E76" s="12" t="n"/>
      <c r="F76" s="12" t="n"/>
      <c r="G76" s="12" t="n"/>
      <c r="H76" s="12" t="n"/>
      <c r="I76" s="17" t="n"/>
      <c r="J76" s="17" t="n"/>
      <c r="K76" s="12" t="n"/>
      <c r="L76" s="12" t="n"/>
      <c r="M76" s="12" t="n"/>
      <c r="N76" s="12" t="n"/>
      <c r="O76" s="12" t="n"/>
      <c r="P76" s="17" t="n"/>
      <c r="Q76" s="14">
        <f>IF(P76="","",TODAY()-P76)</f>
        <v/>
      </c>
      <c r="R76" s="12" t="n"/>
      <c r="S76" s="17" t="n"/>
      <c r="T76" s="12" t="n"/>
      <c r="U76" s="12" t="n"/>
      <c r="V76" s="12" t="n"/>
      <c r="W76" s="15" t="n"/>
      <c r="X76" s="12" t="n"/>
      <c r="Y76" s="12" t="n"/>
    </row>
    <row r="77">
      <c r="A77" s="11">
        <f>IF(B77="","",ROW()-7)</f>
        <v/>
      </c>
      <c r="B77" s="12" t="n"/>
      <c r="C77" s="12" t="n"/>
      <c r="D77" s="12" t="n"/>
      <c r="E77" s="12" t="n"/>
      <c r="F77" s="12" t="n"/>
      <c r="G77" s="12" t="n"/>
      <c r="H77" s="12" t="n"/>
      <c r="I77" s="17" t="n"/>
      <c r="J77" s="17" t="n"/>
      <c r="K77" s="12" t="n"/>
      <c r="L77" s="12" t="n"/>
      <c r="M77" s="12" t="n"/>
      <c r="N77" s="12" t="n"/>
      <c r="O77" s="12" t="n"/>
      <c r="P77" s="17" t="n"/>
      <c r="Q77" s="14">
        <f>IF(P77="","",TODAY()-P77)</f>
        <v/>
      </c>
      <c r="R77" s="12" t="n"/>
      <c r="S77" s="17" t="n"/>
      <c r="T77" s="12" t="n"/>
      <c r="U77" s="12" t="n"/>
      <c r="V77" s="12" t="n"/>
      <c r="W77" s="15" t="n"/>
      <c r="X77" s="12" t="n"/>
      <c r="Y77" s="12" t="n"/>
    </row>
    <row r="78">
      <c r="A78" s="11">
        <f>IF(B78="","",ROW()-7)</f>
        <v/>
      </c>
      <c r="B78" s="12" t="n"/>
      <c r="C78" s="12" t="n"/>
      <c r="D78" s="12" t="n"/>
      <c r="E78" s="12" t="n"/>
      <c r="F78" s="12" t="n"/>
      <c r="G78" s="12" t="n"/>
      <c r="H78" s="12" t="n"/>
      <c r="I78" s="17" t="n"/>
      <c r="J78" s="17" t="n"/>
      <c r="K78" s="12" t="n"/>
      <c r="L78" s="12" t="n"/>
      <c r="M78" s="12" t="n"/>
      <c r="N78" s="12" t="n"/>
      <c r="O78" s="12" t="n"/>
      <c r="P78" s="17" t="n"/>
      <c r="Q78" s="14">
        <f>IF(P78="","",TODAY()-P78)</f>
        <v/>
      </c>
      <c r="R78" s="12" t="n"/>
      <c r="S78" s="17" t="n"/>
      <c r="T78" s="12" t="n"/>
      <c r="U78" s="12" t="n"/>
      <c r="V78" s="12" t="n"/>
      <c r="W78" s="15" t="n"/>
      <c r="X78" s="12" t="n"/>
      <c r="Y78" s="12" t="n"/>
    </row>
    <row r="79">
      <c r="A79" s="11">
        <f>IF(B79="","",ROW()-7)</f>
        <v/>
      </c>
      <c r="B79" s="12" t="n"/>
      <c r="C79" s="12" t="n"/>
      <c r="D79" s="12" t="n"/>
      <c r="E79" s="12" t="n"/>
      <c r="F79" s="12" t="n"/>
      <c r="G79" s="12" t="n"/>
      <c r="H79" s="12" t="n"/>
      <c r="I79" s="17" t="n"/>
      <c r="J79" s="17" t="n"/>
      <c r="K79" s="12" t="n"/>
      <c r="L79" s="12" t="n"/>
      <c r="M79" s="12" t="n"/>
      <c r="N79" s="12" t="n"/>
      <c r="O79" s="12" t="n"/>
      <c r="P79" s="17" t="n"/>
      <c r="Q79" s="14">
        <f>IF(P79="","",TODAY()-P79)</f>
        <v/>
      </c>
      <c r="R79" s="12" t="n"/>
      <c r="S79" s="17" t="n"/>
      <c r="T79" s="12" t="n"/>
      <c r="U79" s="12" t="n"/>
      <c r="V79" s="12" t="n"/>
      <c r="W79" s="15" t="n"/>
      <c r="X79" s="12" t="n"/>
      <c r="Y79" s="12" t="n"/>
    </row>
    <row r="80">
      <c r="A80" s="11">
        <f>IF(B80="","",ROW()-7)</f>
        <v/>
      </c>
      <c r="B80" s="12" t="n"/>
      <c r="C80" s="12" t="n"/>
      <c r="D80" s="12" t="n"/>
      <c r="E80" s="12" t="n"/>
      <c r="F80" s="12" t="n"/>
      <c r="G80" s="12" t="n"/>
      <c r="H80" s="12" t="n"/>
      <c r="I80" s="17" t="n"/>
      <c r="J80" s="17" t="n"/>
      <c r="K80" s="12" t="n"/>
      <c r="L80" s="12" t="n"/>
      <c r="M80" s="12" t="n"/>
      <c r="N80" s="12" t="n"/>
      <c r="O80" s="12" t="n"/>
      <c r="P80" s="17" t="n"/>
      <c r="Q80" s="14">
        <f>IF(P80="","",TODAY()-P80)</f>
        <v/>
      </c>
      <c r="R80" s="12" t="n"/>
      <c r="S80" s="17" t="n"/>
      <c r="T80" s="12" t="n"/>
      <c r="U80" s="12" t="n"/>
      <c r="V80" s="12" t="n"/>
      <c r="W80" s="15" t="n"/>
      <c r="X80" s="12" t="n"/>
      <c r="Y80" s="12" t="n"/>
    </row>
    <row r="81">
      <c r="A81" s="11">
        <f>IF(B81="","",ROW()-7)</f>
        <v/>
      </c>
      <c r="B81" s="12" t="n"/>
      <c r="C81" s="12" t="n"/>
      <c r="D81" s="12" t="n"/>
      <c r="E81" s="12" t="n"/>
      <c r="F81" s="12" t="n"/>
      <c r="G81" s="12" t="n"/>
      <c r="H81" s="12" t="n"/>
      <c r="I81" s="17" t="n"/>
      <c r="J81" s="17" t="n"/>
      <c r="K81" s="12" t="n"/>
      <c r="L81" s="12" t="n"/>
      <c r="M81" s="12" t="n"/>
      <c r="N81" s="12" t="n"/>
      <c r="O81" s="12" t="n"/>
      <c r="P81" s="17" t="n"/>
      <c r="Q81" s="14">
        <f>IF(P81="","",TODAY()-P81)</f>
        <v/>
      </c>
      <c r="R81" s="12" t="n"/>
      <c r="S81" s="17" t="n"/>
      <c r="T81" s="12" t="n"/>
      <c r="U81" s="12" t="n"/>
      <c r="V81" s="12" t="n"/>
      <c r="W81" s="15" t="n"/>
      <c r="X81" s="12" t="n"/>
      <c r="Y81" s="12" t="n"/>
    </row>
    <row r="82">
      <c r="A82" s="11">
        <f>IF(B82="","",ROW()-7)</f>
        <v/>
      </c>
      <c r="B82" s="12" t="n"/>
      <c r="C82" s="12" t="n"/>
      <c r="D82" s="12" t="n"/>
      <c r="E82" s="12" t="n"/>
      <c r="F82" s="12" t="n"/>
      <c r="G82" s="12" t="n"/>
      <c r="H82" s="12" t="n"/>
      <c r="I82" s="17" t="n"/>
      <c r="J82" s="17" t="n"/>
      <c r="K82" s="12" t="n"/>
      <c r="L82" s="12" t="n"/>
      <c r="M82" s="12" t="n"/>
      <c r="N82" s="12" t="n"/>
      <c r="O82" s="12" t="n"/>
      <c r="P82" s="17" t="n"/>
      <c r="Q82" s="14">
        <f>IF(P82="","",TODAY()-P82)</f>
        <v/>
      </c>
      <c r="R82" s="12" t="n"/>
      <c r="S82" s="17" t="n"/>
      <c r="T82" s="12" t="n"/>
      <c r="U82" s="12" t="n"/>
      <c r="V82" s="12" t="n"/>
      <c r="W82" s="15" t="n"/>
      <c r="X82" s="12" t="n"/>
      <c r="Y82" s="12" t="n"/>
    </row>
    <row r="83">
      <c r="A83" s="11">
        <f>IF(B83="","",ROW()-7)</f>
        <v/>
      </c>
      <c r="B83" s="12" t="n"/>
      <c r="C83" s="12" t="n"/>
      <c r="D83" s="12" t="n"/>
      <c r="E83" s="12" t="n"/>
      <c r="F83" s="12" t="n"/>
      <c r="G83" s="12" t="n"/>
      <c r="H83" s="12" t="n"/>
      <c r="I83" s="17" t="n"/>
      <c r="J83" s="17" t="n"/>
      <c r="K83" s="12" t="n"/>
      <c r="L83" s="12" t="n"/>
      <c r="M83" s="12" t="n"/>
      <c r="N83" s="12" t="n"/>
      <c r="O83" s="12" t="n"/>
      <c r="P83" s="17" t="n"/>
      <c r="Q83" s="14">
        <f>IF(P83="","",TODAY()-P83)</f>
        <v/>
      </c>
      <c r="R83" s="12" t="n"/>
      <c r="S83" s="17" t="n"/>
      <c r="T83" s="12" t="n"/>
      <c r="U83" s="12" t="n"/>
      <c r="V83" s="12" t="n"/>
      <c r="W83" s="15" t="n"/>
      <c r="X83" s="12" t="n"/>
      <c r="Y83" s="12" t="n"/>
    </row>
    <row r="84">
      <c r="A84" s="11">
        <f>IF(B84="","",ROW()-7)</f>
        <v/>
      </c>
      <c r="B84" s="12" t="n"/>
      <c r="C84" s="12" t="n"/>
      <c r="D84" s="12" t="n"/>
      <c r="E84" s="12" t="n"/>
      <c r="F84" s="12" t="n"/>
      <c r="G84" s="12" t="n"/>
      <c r="H84" s="12" t="n"/>
      <c r="I84" s="17" t="n"/>
      <c r="J84" s="17" t="n"/>
      <c r="K84" s="12" t="n"/>
      <c r="L84" s="12" t="n"/>
      <c r="M84" s="12" t="n"/>
      <c r="N84" s="12" t="n"/>
      <c r="O84" s="12" t="n"/>
      <c r="P84" s="17" t="n"/>
      <c r="Q84" s="14">
        <f>IF(P84="","",TODAY()-P84)</f>
        <v/>
      </c>
      <c r="R84" s="12" t="n"/>
      <c r="S84" s="17" t="n"/>
      <c r="T84" s="12" t="n"/>
      <c r="U84" s="12" t="n"/>
      <c r="V84" s="12" t="n"/>
      <c r="W84" s="15" t="n"/>
      <c r="X84" s="12" t="n"/>
      <c r="Y84" s="12" t="n"/>
    </row>
    <row r="85">
      <c r="A85" s="11">
        <f>IF(B85="","",ROW()-7)</f>
        <v/>
      </c>
      <c r="B85" s="12" t="n"/>
      <c r="C85" s="12" t="n"/>
      <c r="D85" s="12" t="n"/>
      <c r="E85" s="12" t="n"/>
      <c r="F85" s="12" t="n"/>
      <c r="G85" s="12" t="n"/>
      <c r="H85" s="12" t="n"/>
      <c r="I85" s="17" t="n"/>
      <c r="J85" s="17" t="n"/>
      <c r="K85" s="12" t="n"/>
      <c r="L85" s="12" t="n"/>
      <c r="M85" s="12" t="n"/>
      <c r="N85" s="12" t="n"/>
      <c r="O85" s="12" t="n"/>
      <c r="P85" s="17" t="n"/>
      <c r="Q85" s="14">
        <f>IF(P85="","",TODAY()-P85)</f>
        <v/>
      </c>
      <c r="R85" s="12" t="n"/>
      <c r="S85" s="17" t="n"/>
      <c r="T85" s="12" t="n"/>
      <c r="U85" s="12" t="n"/>
      <c r="V85" s="12" t="n"/>
      <c r="W85" s="15" t="n"/>
      <c r="X85" s="12" t="n"/>
      <c r="Y85" s="12" t="n"/>
    </row>
    <row r="86">
      <c r="A86" s="11">
        <f>IF(B86="","",ROW()-7)</f>
        <v/>
      </c>
      <c r="B86" s="12" t="n"/>
      <c r="C86" s="12" t="n"/>
      <c r="D86" s="12" t="n"/>
      <c r="E86" s="12" t="n"/>
      <c r="F86" s="12" t="n"/>
      <c r="G86" s="12" t="n"/>
      <c r="H86" s="12" t="n"/>
      <c r="I86" s="17" t="n"/>
      <c r="J86" s="17" t="n"/>
      <c r="K86" s="12" t="n"/>
      <c r="L86" s="12" t="n"/>
      <c r="M86" s="12" t="n"/>
      <c r="N86" s="12" t="n"/>
      <c r="O86" s="12" t="n"/>
      <c r="P86" s="17" t="n"/>
      <c r="Q86" s="14">
        <f>IF(P86="","",TODAY()-P86)</f>
        <v/>
      </c>
      <c r="R86" s="12" t="n"/>
      <c r="S86" s="17" t="n"/>
      <c r="T86" s="12" t="n"/>
      <c r="U86" s="12" t="n"/>
      <c r="V86" s="12" t="n"/>
      <c r="W86" s="15" t="n"/>
      <c r="X86" s="12" t="n"/>
      <c r="Y86" s="12" t="n"/>
    </row>
    <row r="87">
      <c r="A87" s="11">
        <f>IF(B87="","",ROW()-7)</f>
        <v/>
      </c>
      <c r="B87" s="12" t="n"/>
      <c r="C87" s="12" t="n"/>
      <c r="D87" s="12" t="n"/>
      <c r="E87" s="12" t="n"/>
      <c r="F87" s="12" t="n"/>
      <c r="G87" s="12" t="n"/>
      <c r="H87" s="12" t="n"/>
      <c r="I87" s="17" t="n"/>
      <c r="J87" s="17" t="n"/>
      <c r="K87" s="12" t="n"/>
      <c r="L87" s="12" t="n"/>
      <c r="M87" s="12" t="n"/>
      <c r="N87" s="12" t="n"/>
      <c r="O87" s="12" t="n"/>
      <c r="P87" s="17" t="n"/>
      <c r="Q87" s="14">
        <f>IF(P87="","",TODAY()-P87)</f>
        <v/>
      </c>
      <c r="R87" s="12" t="n"/>
      <c r="S87" s="17" t="n"/>
      <c r="T87" s="12" t="n"/>
      <c r="U87" s="12" t="n"/>
      <c r="V87" s="12" t="n"/>
      <c r="W87" s="15" t="n"/>
      <c r="X87" s="12" t="n"/>
      <c r="Y87" s="12" t="n"/>
    </row>
    <row r="88">
      <c r="A88" s="11">
        <f>IF(B88="","",ROW()-7)</f>
        <v/>
      </c>
      <c r="B88" s="12" t="n"/>
      <c r="C88" s="12" t="n"/>
      <c r="D88" s="12" t="n"/>
      <c r="E88" s="12" t="n"/>
      <c r="F88" s="12" t="n"/>
      <c r="G88" s="12" t="n"/>
      <c r="H88" s="12" t="n"/>
      <c r="I88" s="17" t="n"/>
      <c r="J88" s="17" t="n"/>
      <c r="K88" s="12" t="n"/>
      <c r="L88" s="12" t="n"/>
      <c r="M88" s="12" t="n"/>
      <c r="N88" s="12" t="n"/>
      <c r="O88" s="12" t="n"/>
      <c r="P88" s="17" t="n"/>
      <c r="Q88" s="14">
        <f>IF(P88="","",TODAY()-P88)</f>
        <v/>
      </c>
      <c r="R88" s="12" t="n"/>
      <c r="S88" s="17" t="n"/>
      <c r="T88" s="12" t="n"/>
      <c r="U88" s="12" t="n"/>
      <c r="V88" s="12" t="n"/>
      <c r="W88" s="15" t="n"/>
      <c r="X88" s="12" t="n"/>
      <c r="Y88" s="12" t="n"/>
    </row>
    <row r="89">
      <c r="A89" s="11">
        <f>IF(B89="","",ROW()-7)</f>
        <v/>
      </c>
      <c r="B89" s="12" t="n"/>
      <c r="C89" s="12" t="n"/>
      <c r="D89" s="12" t="n"/>
      <c r="E89" s="12" t="n"/>
      <c r="F89" s="12" t="n"/>
      <c r="G89" s="12" t="n"/>
      <c r="H89" s="12" t="n"/>
      <c r="I89" s="17" t="n"/>
      <c r="J89" s="17" t="n"/>
      <c r="K89" s="12" t="n"/>
      <c r="L89" s="12" t="n"/>
      <c r="M89" s="12" t="n"/>
      <c r="N89" s="12" t="n"/>
      <c r="O89" s="12" t="n"/>
      <c r="P89" s="17" t="n"/>
      <c r="Q89" s="14">
        <f>IF(P89="","",TODAY()-P89)</f>
        <v/>
      </c>
      <c r="R89" s="12" t="n"/>
      <c r="S89" s="17" t="n"/>
      <c r="T89" s="12" t="n"/>
      <c r="U89" s="12" t="n"/>
      <c r="V89" s="12" t="n"/>
      <c r="W89" s="15" t="n"/>
      <c r="X89" s="12" t="n"/>
      <c r="Y89" s="12" t="n"/>
    </row>
    <row r="90">
      <c r="A90" s="11">
        <f>IF(B90="","",ROW()-7)</f>
        <v/>
      </c>
      <c r="B90" s="12" t="n"/>
      <c r="C90" s="12" t="n"/>
      <c r="D90" s="12" t="n"/>
      <c r="E90" s="12" t="n"/>
      <c r="F90" s="12" t="n"/>
      <c r="G90" s="12" t="n"/>
      <c r="H90" s="12" t="n"/>
      <c r="I90" s="17" t="n"/>
      <c r="J90" s="17" t="n"/>
      <c r="K90" s="12" t="n"/>
      <c r="L90" s="12" t="n"/>
      <c r="M90" s="12" t="n"/>
      <c r="N90" s="12" t="n"/>
      <c r="O90" s="12" t="n"/>
      <c r="P90" s="17" t="n"/>
      <c r="Q90" s="14">
        <f>IF(P90="","",TODAY()-P90)</f>
        <v/>
      </c>
      <c r="R90" s="12" t="n"/>
      <c r="S90" s="17" t="n"/>
      <c r="T90" s="12" t="n"/>
      <c r="U90" s="12" t="n"/>
      <c r="V90" s="12" t="n"/>
      <c r="W90" s="15" t="n"/>
      <c r="X90" s="12" t="n"/>
      <c r="Y90" s="12" t="n"/>
    </row>
    <row r="91">
      <c r="A91" s="11">
        <f>IF(B91="","",ROW()-7)</f>
        <v/>
      </c>
      <c r="B91" s="12" t="n"/>
      <c r="C91" s="12" t="n"/>
      <c r="D91" s="12" t="n"/>
      <c r="E91" s="12" t="n"/>
      <c r="F91" s="12" t="n"/>
      <c r="G91" s="12" t="n"/>
      <c r="H91" s="12" t="n"/>
      <c r="I91" s="17" t="n"/>
      <c r="J91" s="17" t="n"/>
      <c r="K91" s="12" t="n"/>
      <c r="L91" s="12" t="n"/>
      <c r="M91" s="12" t="n"/>
      <c r="N91" s="12" t="n"/>
      <c r="O91" s="12" t="n"/>
      <c r="P91" s="17" t="n"/>
      <c r="Q91" s="14">
        <f>IF(P91="","",TODAY()-P91)</f>
        <v/>
      </c>
      <c r="R91" s="12" t="n"/>
      <c r="S91" s="17" t="n"/>
      <c r="T91" s="12" t="n"/>
      <c r="U91" s="12" t="n"/>
      <c r="V91" s="12" t="n"/>
      <c r="W91" s="15" t="n"/>
      <c r="X91" s="12" t="n"/>
      <c r="Y91" s="12" t="n"/>
    </row>
    <row r="92">
      <c r="A92" s="11">
        <f>IF(B92="","",ROW()-7)</f>
        <v/>
      </c>
      <c r="B92" s="12" t="n"/>
      <c r="C92" s="12" t="n"/>
      <c r="D92" s="12" t="n"/>
      <c r="E92" s="12" t="n"/>
      <c r="F92" s="12" t="n"/>
      <c r="G92" s="12" t="n"/>
      <c r="H92" s="12" t="n"/>
      <c r="I92" s="17" t="n"/>
      <c r="J92" s="17" t="n"/>
      <c r="K92" s="12" t="n"/>
      <c r="L92" s="12" t="n"/>
      <c r="M92" s="12" t="n"/>
      <c r="N92" s="12" t="n"/>
      <c r="O92" s="12" t="n"/>
      <c r="P92" s="17" t="n"/>
      <c r="Q92" s="14">
        <f>IF(P92="","",TODAY()-P92)</f>
        <v/>
      </c>
      <c r="R92" s="12" t="n"/>
      <c r="S92" s="17" t="n"/>
      <c r="T92" s="12" t="n"/>
      <c r="U92" s="12" t="n"/>
      <c r="V92" s="12" t="n"/>
      <c r="W92" s="15" t="n"/>
      <c r="X92" s="12" t="n"/>
      <c r="Y92" s="12" t="n"/>
    </row>
    <row r="93">
      <c r="A93" s="11">
        <f>IF(B93="","",ROW()-7)</f>
        <v/>
      </c>
      <c r="B93" s="12" t="n"/>
      <c r="C93" s="12" t="n"/>
      <c r="D93" s="12" t="n"/>
      <c r="E93" s="12" t="n"/>
      <c r="F93" s="12" t="n"/>
      <c r="G93" s="12" t="n"/>
      <c r="H93" s="12" t="n"/>
      <c r="I93" s="17" t="n"/>
      <c r="J93" s="17" t="n"/>
      <c r="K93" s="12" t="n"/>
      <c r="L93" s="12" t="n"/>
      <c r="M93" s="12" t="n"/>
      <c r="N93" s="12" t="n"/>
      <c r="O93" s="12" t="n"/>
      <c r="P93" s="17" t="n"/>
      <c r="Q93" s="14">
        <f>IF(P93="","",TODAY()-P93)</f>
        <v/>
      </c>
      <c r="R93" s="12" t="n"/>
      <c r="S93" s="17" t="n"/>
      <c r="T93" s="12" t="n"/>
      <c r="U93" s="12" t="n"/>
      <c r="V93" s="12" t="n"/>
      <c r="W93" s="15" t="n"/>
      <c r="X93" s="12" t="n"/>
      <c r="Y93" s="12" t="n"/>
    </row>
    <row r="94">
      <c r="A94" s="11">
        <f>IF(B94="","",ROW()-7)</f>
        <v/>
      </c>
      <c r="B94" s="12" t="n"/>
      <c r="C94" s="12" t="n"/>
      <c r="D94" s="12" t="n"/>
      <c r="E94" s="12" t="n"/>
      <c r="F94" s="12" t="n"/>
      <c r="G94" s="12" t="n"/>
      <c r="H94" s="12" t="n"/>
      <c r="I94" s="17" t="n"/>
      <c r="J94" s="17" t="n"/>
      <c r="K94" s="12" t="n"/>
      <c r="L94" s="12" t="n"/>
      <c r="M94" s="12" t="n"/>
      <c r="N94" s="12" t="n"/>
      <c r="O94" s="12" t="n"/>
      <c r="P94" s="17" t="n"/>
      <c r="Q94" s="14">
        <f>IF(P94="","",TODAY()-P94)</f>
        <v/>
      </c>
      <c r="R94" s="12" t="n"/>
      <c r="S94" s="17" t="n"/>
      <c r="T94" s="12" t="n"/>
      <c r="U94" s="12" t="n"/>
      <c r="V94" s="12" t="n"/>
      <c r="W94" s="15" t="n"/>
      <c r="X94" s="12" t="n"/>
      <c r="Y94" s="12" t="n"/>
    </row>
    <row r="95">
      <c r="A95" s="11">
        <f>IF(B95="","",ROW()-7)</f>
        <v/>
      </c>
      <c r="B95" s="12" t="n"/>
      <c r="C95" s="12" t="n"/>
      <c r="D95" s="12" t="n"/>
      <c r="E95" s="12" t="n"/>
      <c r="F95" s="12" t="n"/>
      <c r="G95" s="12" t="n"/>
      <c r="H95" s="12" t="n"/>
      <c r="I95" s="17" t="n"/>
      <c r="J95" s="17" t="n"/>
      <c r="K95" s="12" t="n"/>
      <c r="L95" s="12" t="n"/>
      <c r="M95" s="12" t="n"/>
      <c r="N95" s="12" t="n"/>
      <c r="O95" s="12" t="n"/>
      <c r="P95" s="17" t="n"/>
      <c r="Q95" s="14">
        <f>IF(P95="","",TODAY()-P95)</f>
        <v/>
      </c>
      <c r="R95" s="12" t="n"/>
      <c r="S95" s="17" t="n"/>
      <c r="T95" s="12" t="n"/>
      <c r="U95" s="12" t="n"/>
      <c r="V95" s="12" t="n"/>
      <c r="W95" s="15" t="n"/>
      <c r="X95" s="12" t="n"/>
      <c r="Y95" s="12" t="n"/>
    </row>
    <row r="96">
      <c r="A96" s="11">
        <f>IF(B96="","",ROW()-7)</f>
        <v/>
      </c>
      <c r="B96" s="12" t="n"/>
      <c r="C96" s="12" t="n"/>
      <c r="D96" s="12" t="n"/>
      <c r="E96" s="12" t="n"/>
      <c r="F96" s="12" t="n"/>
      <c r="G96" s="12" t="n"/>
      <c r="H96" s="12" t="n"/>
      <c r="I96" s="17" t="n"/>
      <c r="J96" s="17" t="n"/>
      <c r="K96" s="12" t="n"/>
      <c r="L96" s="12" t="n"/>
      <c r="M96" s="12" t="n"/>
      <c r="N96" s="12" t="n"/>
      <c r="O96" s="12" t="n"/>
      <c r="P96" s="17" t="n"/>
      <c r="Q96" s="14">
        <f>IF(P96="","",TODAY()-P96)</f>
        <v/>
      </c>
      <c r="R96" s="12" t="n"/>
      <c r="S96" s="17" t="n"/>
      <c r="T96" s="12" t="n"/>
      <c r="U96" s="12" t="n"/>
      <c r="V96" s="12" t="n"/>
      <c r="W96" s="15" t="n"/>
      <c r="X96" s="12" t="n"/>
      <c r="Y96" s="12" t="n"/>
    </row>
    <row r="97">
      <c r="A97" s="11">
        <f>IF(B97="","",ROW()-7)</f>
        <v/>
      </c>
      <c r="B97" s="12" t="n"/>
      <c r="C97" s="12" t="n"/>
      <c r="D97" s="12" t="n"/>
      <c r="E97" s="12" t="n"/>
      <c r="F97" s="12" t="n"/>
      <c r="G97" s="12" t="n"/>
      <c r="H97" s="12" t="n"/>
      <c r="I97" s="17" t="n"/>
      <c r="J97" s="17" t="n"/>
      <c r="K97" s="12" t="n"/>
      <c r="L97" s="12" t="n"/>
      <c r="M97" s="12" t="n"/>
      <c r="N97" s="12" t="n"/>
      <c r="O97" s="12" t="n"/>
      <c r="P97" s="17" t="n"/>
      <c r="Q97" s="14">
        <f>IF(P97="","",TODAY()-P97)</f>
        <v/>
      </c>
      <c r="R97" s="12" t="n"/>
      <c r="S97" s="17" t="n"/>
      <c r="T97" s="12" t="n"/>
      <c r="U97" s="12" t="n"/>
      <c r="V97" s="12" t="n"/>
      <c r="W97" s="15" t="n"/>
      <c r="X97" s="12" t="n"/>
      <c r="Y97" s="12" t="n"/>
    </row>
    <row r="98">
      <c r="A98" s="11">
        <f>IF(B98="","",ROW()-7)</f>
        <v/>
      </c>
      <c r="B98" s="12" t="n"/>
      <c r="C98" s="12" t="n"/>
      <c r="D98" s="12" t="n"/>
      <c r="E98" s="12" t="n"/>
      <c r="F98" s="12" t="n"/>
      <c r="G98" s="12" t="n"/>
      <c r="H98" s="12" t="n"/>
      <c r="I98" s="17" t="n"/>
      <c r="J98" s="17" t="n"/>
      <c r="K98" s="12" t="n"/>
      <c r="L98" s="12" t="n"/>
      <c r="M98" s="12" t="n"/>
      <c r="N98" s="12" t="n"/>
      <c r="O98" s="12" t="n"/>
      <c r="P98" s="17" t="n"/>
      <c r="Q98" s="14">
        <f>IF(P98="","",TODAY()-P98)</f>
        <v/>
      </c>
      <c r="R98" s="12" t="n"/>
      <c r="S98" s="17" t="n"/>
      <c r="T98" s="12" t="n"/>
      <c r="U98" s="12" t="n"/>
      <c r="V98" s="12" t="n"/>
      <c r="W98" s="15" t="n"/>
      <c r="X98" s="12" t="n"/>
      <c r="Y98" s="12" t="n"/>
    </row>
    <row r="99">
      <c r="A99" s="11">
        <f>IF(B99="","",ROW()-7)</f>
        <v/>
      </c>
      <c r="B99" s="12" t="n"/>
      <c r="C99" s="12" t="n"/>
      <c r="D99" s="12" t="n"/>
      <c r="E99" s="12" t="n"/>
      <c r="F99" s="12" t="n"/>
      <c r="G99" s="12" t="n"/>
      <c r="H99" s="12" t="n"/>
      <c r="I99" s="17" t="n"/>
      <c r="J99" s="17" t="n"/>
      <c r="K99" s="12" t="n"/>
      <c r="L99" s="12" t="n"/>
      <c r="M99" s="12" t="n"/>
      <c r="N99" s="12" t="n"/>
      <c r="O99" s="12" t="n"/>
      <c r="P99" s="17" t="n"/>
      <c r="Q99" s="14">
        <f>IF(P99="","",TODAY()-P99)</f>
        <v/>
      </c>
      <c r="R99" s="12" t="n"/>
      <c r="S99" s="17" t="n"/>
      <c r="T99" s="12" t="n"/>
      <c r="U99" s="12" t="n"/>
      <c r="V99" s="12" t="n"/>
      <c r="W99" s="15" t="n"/>
      <c r="X99" s="12" t="n"/>
      <c r="Y99" s="12" t="n"/>
    </row>
    <row r="100">
      <c r="A100" s="11">
        <f>IF(B100="","",ROW()-7)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7" t="n"/>
      <c r="J100" s="17" t="n"/>
      <c r="K100" s="12" t="n"/>
      <c r="L100" s="12" t="n"/>
      <c r="M100" s="12" t="n"/>
      <c r="N100" s="12" t="n"/>
      <c r="O100" s="12" t="n"/>
      <c r="P100" s="17" t="n"/>
      <c r="Q100" s="14">
        <f>IF(P100="","",TODAY()-P100)</f>
        <v/>
      </c>
      <c r="R100" s="12" t="n"/>
      <c r="S100" s="17" t="n"/>
      <c r="T100" s="12" t="n"/>
      <c r="U100" s="12" t="n"/>
      <c r="V100" s="12" t="n"/>
      <c r="W100" s="15" t="n"/>
      <c r="X100" s="12" t="n"/>
      <c r="Y100" s="12" t="n"/>
    </row>
    <row r="101">
      <c r="A101" s="11">
        <f>IF(B101="","",ROW()-7)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7" t="n"/>
      <c r="J101" s="17" t="n"/>
      <c r="K101" s="12" t="n"/>
      <c r="L101" s="12" t="n"/>
      <c r="M101" s="12" t="n"/>
      <c r="N101" s="12" t="n"/>
      <c r="O101" s="12" t="n"/>
      <c r="P101" s="17" t="n"/>
      <c r="Q101" s="14">
        <f>IF(P101="","",TODAY()-P101)</f>
        <v/>
      </c>
      <c r="R101" s="12" t="n"/>
      <c r="S101" s="17" t="n"/>
      <c r="T101" s="12" t="n"/>
      <c r="U101" s="12" t="n"/>
      <c r="V101" s="12" t="n"/>
      <c r="W101" s="15" t="n"/>
      <c r="X101" s="12" t="n"/>
      <c r="Y101" s="12" t="n"/>
    </row>
    <row r="102">
      <c r="A102" s="11">
        <f>IF(B102="","",ROW()-7)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7" t="n"/>
      <c r="J102" s="17" t="n"/>
      <c r="K102" s="12" t="n"/>
      <c r="L102" s="12" t="n"/>
      <c r="M102" s="12" t="n"/>
      <c r="N102" s="12" t="n"/>
      <c r="O102" s="12" t="n"/>
      <c r="P102" s="17" t="n"/>
      <c r="Q102" s="14">
        <f>IF(P102="","",TODAY()-P102)</f>
        <v/>
      </c>
      <c r="R102" s="12" t="n"/>
      <c r="S102" s="17" t="n"/>
      <c r="T102" s="12" t="n"/>
      <c r="U102" s="12" t="n"/>
      <c r="V102" s="12" t="n"/>
      <c r="W102" s="15" t="n"/>
      <c r="X102" s="12" t="n"/>
      <c r="Y102" s="12" t="n"/>
    </row>
    <row r="103">
      <c r="A103" s="11">
        <f>IF(B103="","",ROW()-7)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7" t="n"/>
      <c r="J103" s="17" t="n"/>
      <c r="K103" s="12" t="n"/>
      <c r="L103" s="12" t="n"/>
      <c r="M103" s="12" t="n"/>
      <c r="N103" s="12" t="n"/>
      <c r="O103" s="12" t="n"/>
      <c r="P103" s="17" t="n"/>
      <c r="Q103" s="14">
        <f>IF(P103="","",TODAY()-P103)</f>
        <v/>
      </c>
      <c r="R103" s="12" t="n"/>
      <c r="S103" s="17" t="n"/>
      <c r="T103" s="12" t="n"/>
      <c r="U103" s="12" t="n"/>
      <c r="V103" s="12" t="n"/>
      <c r="W103" s="15" t="n"/>
      <c r="X103" s="12" t="n"/>
      <c r="Y103" s="12" t="n"/>
    </row>
    <row r="104">
      <c r="A104" s="11">
        <f>IF(B104="","",ROW()-7)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7" t="n"/>
      <c r="J104" s="17" t="n"/>
      <c r="K104" s="12" t="n"/>
      <c r="L104" s="12" t="n"/>
      <c r="M104" s="12" t="n"/>
      <c r="N104" s="12" t="n"/>
      <c r="O104" s="12" t="n"/>
      <c r="P104" s="17" t="n"/>
      <c r="Q104" s="14">
        <f>IF(P104="","",TODAY()-P104)</f>
        <v/>
      </c>
      <c r="R104" s="12" t="n"/>
      <c r="S104" s="17" t="n"/>
      <c r="T104" s="12" t="n"/>
      <c r="U104" s="12" t="n"/>
      <c r="V104" s="12" t="n"/>
      <c r="W104" s="15" t="n"/>
      <c r="X104" s="12" t="n"/>
      <c r="Y104" s="12" t="n"/>
    </row>
    <row r="105">
      <c r="A105" s="11">
        <f>IF(B105="","",ROW()-7)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7" t="n"/>
      <c r="J105" s="17" t="n"/>
      <c r="K105" s="12" t="n"/>
      <c r="L105" s="12" t="n"/>
      <c r="M105" s="12" t="n"/>
      <c r="N105" s="12" t="n"/>
      <c r="O105" s="12" t="n"/>
      <c r="P105" s="17" t="n"/>
      <c r="Q105" s="14">
        <f>IF(P105="","",TODAY()-P105)</f>
        <v/>
      </c>
      <c r="R105" s="12" t="n"/>
      <c r="S105" s="17" t="n"/>
      <c r="T105" s="12" t="n"/>
      <c r="U105" s="12" t="n"/>
      <c r="V105" s="12" t="n"/>
      <c r="W105" s="15" t="n"/>
      <c r="X105" s="12" t="n"/>
      <c r="Y105" s="12" t="n"/>
    </row>
    <row r="106">
      <c r="A106" s="11">
        <f>IF(B106="","",ROW()-7)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7" t="n"/>
      <c r="J106" s="17" t="n"/>
      <c r="K106" s="12" t="n"/>
      <c r="L106" s="12" t="n"/>
      <c r="M106" s="12" t="n"/>
      <c r="N106" s="12" t="n"/>
      <c r="O106" s="12" t="n"/>
      <c r="P106" s="17" t="n"/>
      <c r="Q106" s="14">
        <f>IF(P106="","",TODAY()-P106)</f>
        <v/>
      </c>
      <c r="R106" s="12" t="n"/>
      <c r="S106" s="17" t="n"/>
      <c r="T106" s="12" t="n"/>
      <c r="U106" s="12" t="n"/>
      <c r="V106" s="12" t="n"/>
      <c r="W106" s="15" t="n"/>
      <c r="X106" s="12" t="n"/>
      <c r="Y106" s="12" t="n"/>
    </row>
    <row r="107">
      <c r="A107" s="11">
        <f>IF(B107="","",ROW()-7)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7" t="n"/>
      <c r="J107" s="17" t="n"/>
      <c r="K107" s="12" t="n"/>
      <c r="L107" s="12" t="n"/>
      <c r="M107" s="12" t="n"/>
      <c r="N107" s="12" t="n"/>
      <c r="O107" s="12" t="n"/>
      <c r="P107" s="17" t="n"/>
      <c r="Q107" s="14">
        <f>IF(P107="","",TODAY()-P107)</f>
        <v/>
      </c>
      <c r="R107" s="12" t="n"/>
      <c r="S107" s="17" t="n"/>
      <c r="T107" s="12" t="n"/>
      <c r="U107" s="12" t="n"/>
      <c r="V107" s="12" t="n"/>
      <c r="W107" s="15" t="n"/>
      <c r="X107" s="12" t="n"/>
      <c r="Y107" s="12" t="n"/>
    </row>
    <row r="108">
      <c r="A108" s="11">
        <f>IF(B108="","",ROW()-7)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7" t="n"/>
      <c r="J108" s="17" t="n"/>
      <c r="K108" s="12" t="n"/>
      <c r="L108" s="12" t="n"/>
      <c r="M108" s="12" t="n"/>
      <c r="N108" s="12" t="n"/>
      <c r="O108" s="12" t="n"/>
      <c r="P108" s="17" t="n"/>
      <c r="Q108" s="14">
        <f>IF(P108="","",TODAY()-P108)</f>
        <v/>
      </c>
      <c r="R108" s="12" t="n"/>
      <c r="S108" s="17" t="n"/>
      <c r="T108" s="12" t="n"/>
      <c r="U108" s="12" t="n"/>
      <c r="V108" s="12" t="n"/>
      <c r="W108" s="15" t="n"/>
      <c r="X108" s="12" t="n"/>
      <c r="Y108" s="12" t="n"/>
    </row>
    <row r="109">
      <c r="A109" s="11">
        <f>IF(B109="","",ROW()-7)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7" t="n"/>
      <c r="J109" s="17" t="n"/>
      <c r="K109" s="12" t="n"/>
      <c r="L109" s="12" t="n"/>
      <c r="M109" s="12" t="n"/>
      <c r="N109" s="12" t="n"/>
      <c r="O109" s="12" t="n"/>
      <c r="P109" s="17" t="n"/>
      <c r="Q109" s="14">
        <f>IF(P109="","",TODAY()-P109)</f>
        <v/>
      </c>
      <c r="R109" s="12" t="n"/>
      <c r="S109" s="17" t="n"/>
      <c r="T109" s="12" t="n"/>
      <c r="U109" s="12" t="n"/>
      <c r="V109" s="12" t="n"/>
      <c r="W109" s="15" t="n"/>
      <c r="X109" s="12" t="n"/>
      <c r="Y109" s="12" t="n"/>
    </row>
    <row r="110">
      <c r="A110" s="11">
        <f>IF(B110="","",ROW()-7)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7" t="n"/>
      <c r="J110" s="17" t="n"/>
      <c r="K110" s="12" t="n"/>
      <c r="L110" s="12" t="n"/>
      <c r="M110" s="12" t="n"/>
      <c r="N110" s="12" t="n"/>
      <c r="O110" s="12" t="n"/>
      <c r="P110" s="17" t="n"/>
      <c r="Q110" s="14">
        <f>IF(P110="","",TODAY()-P110)</f>
        <v/>
      </c>
      <c r="R110" s="12" t="n"/>
      <c r="S110" s="17" t="n"/>
      <c r="T110" s="12" t="n"/>
      <c r="U110" s="12" t="n"/>
      <c r="V110" s="12" t="n"/>
      <c r="W110" s="15" t="n"/>
      <c r="X110" s="12" t="n"/>
      <c r="Y110" s="12" t="n"/>
    </row>
    <row r="111">
      <c r="A111" s="11">
        <f>IF(B111="","",ROW()-7)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7" t="n"/>
      <c r="J111" s="17" t="n"/>
      <c r="K111" s="12" t="n"/>
      <c r="L111" s="12" t="n"/>
      <c r="M111" s="12" t="n"/>
      <c r="N111" s="12" t="n"/>
      <c r="O111" s="12" t="n"/>
      <c r="P111" s="17" t="n"/>
      <c r="Q111" s="14">
        <f>IF(P111="","",TODAY()-P111)</f>
        <v/>
      </c>
      <c r="R111" s="12" t="n"/>
      <c r="S111" s="17" t="n"/>
      <c r="T111" s="12" t="n"/>
      <c r="U111" s="12" t="n"/>
      <c r="V111" s="12" t="n"/>
      <c r="W111" s="15" t="n"/>
      <c r="X111" s="12" t="n"/>
      <c r="Y111" s="12" t="n"/>
    </row>
    <row r="112">
      <c r="A112" s="11">
        <f>IF(B112="","",ROW()-7)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7" t="n"/>
      <c r="J112" s="17" t="n"/>
      <c r="K112" s="12" t="n"/>
      <c r="L112" s="12" t="n"/>
      <c r="M112" s="12" t="n"/>
      <c r="N112" s="12" t="n"/>
      <c r="O112" s="12" t="n"/>
      <c r="P112" s="17" t="n"/>
      <c r="Q112" s="14">
        <f>IF(P112="","",TODAY()-P112)</f>
        <v/>
      </c>
      <c r="R112" s="12" t="n"/>
      <c r="S112" s="17" t="n"/>
      <c r="T112" s="12" t="n"/>
      <c r="U112" s="12" t="n"/>
      <c r="V112" s="12" t="n"/>
      <c r="W112" s="15" t="n"/>
      <c r="X112" s="12" t="n"/>
      <c r="Y112" s="12" t="n"/>
    </row>
    <row r="113">
      <c r="A113" s="11">
        <f>IF(B113="","",ROW()-7)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7" t="n"/>
      <c r="J113" s="17" t="n"/>
      <c r="K113" s="12" t="n"/>
      <c r="L113" s="12" t="n"/>
      <c r="M113" s="12" t="n"/>
      <c r="N113" s="12" t="n"/>
      <c r="O113" s="12" t="n"/>
      <c r="P113" s="17" t="n"/>
      <c r="Q113" s="14">
        <f>IF(P113="","",TODAY()-P113)</f>
        <v/>
      </c>
      <c r="R113" s="12" t="n"/>
      <c r="S113" s="17" t="n"/>
      <c r="T113" s="12" t="n"/>
      <c r="U113" s="12" t="n"/>
      <c r="V113" s="12" t="n"/>
      <c r="W113" s="15" t="n"/>
      <c r="X113" s="12" t="n"/>
      <c r="Y113" s="12" t="n"/>
    </row>
    <row r="114">
      <c r="A114" s="11">
        <f>IF(B114="","",ROW()-7)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7" t="n"/>
      <c r="J114" s="17" t="n"/>
      <c r="K114" s="12" t="n"/>
      <c r="L114" s="12" t="n"/>
      <c r="M114" s="12" t="n"/>
      <c r="N114" s="12" t="n"/>
      <c r="O114" s="12" t="n"/>
      <c r="P114" s="17" t="n"/>
      <c r="Q114" s="14">
        <f>IF(P114="","",TODAY()-P114)</f>
        <v/>
      </c>
      <c r="R114" s="12" t="n"/>
      <c r="S114" s="17" t="n"/>
      <c r="T114" s="12" t="n"/>
      <c r="U114" s="12" t="n"/>
      <c r="V114" s="12" t="n"/>
      <c r="W114" s="15" t="n"/>
      <c r="X114" s="12" t="n"/>
      <c r="Y114" s="12" t="n"/>
    </row>
    <row r="115">
      <c r="A115" s="11">
        <f>IF(B115="","",ROW()-7)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7" t="n"/>
      <c r="J115" s="17" t="n"/>
      <c r="K115" s="12" t="n"/>
      <c r="L115" s="12" t="n"/>
      <c r="M115" s="12" t="n"/>
      <c r="N115" s="12" t="n"/>
      <c r="O115" s="12" t="n"/>
      <c r="P115" s="17" t="n"/>
      <c r="Q115" s="14">
        <f>IF(P115="","",TODAY()-P115)</f>
        <v/>
      </c>
      <c r="R115" s="12" t="n"/>
      <c r="S115" s="17" t="n"/>
      <c r="T115" s="12" t="n"/>
      <c r="U115" s="12" t="n"/>
      <c r="V115" s="12" t="n"/>
      <c r="W115" s="15" t="n"/>
      <c r="X115" s="12" t="n"/>
      <c r="Y115" s="12" t="n"/>
    </row>
    <row r="116">
      <c r="A116" s="11">
        <f>IF(B116="","",ROW()-7)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7" t="n"/>
      <c r="J116" s="17" t="n"/>
      <c r="K116" s="12" t="n"/>
      <c r="L116" s="12" t="n"/>
      <c r="M116" s="12" t="n"/>
      <c r="N116" s="12" t="n"/>
      <c r="O116" s="12" t="n"/>
      <c r="P116" s="17" t="n"/>
      <c r="Q116" s="14">
        <f>IF(P116="","",TODAY()-P116)</f>
        <v/>
      </c>
      <c r="R116" s="12" t="n"/>
      <c r="S116" s="17" t="n"/>
      <c r="T116" s="12" t="n"/>
      <c r="U116" s="12" t="n"/>
      <c r="V116" s="12" t="n"/>
      <c r="W116" s="15" t="n"/>
      <c r="X116" s="12" t="n"/>
      <c r="Y116" s="12" t="n"/>
    </row>
    <row r="117">
      <c r="A117" s="11">
        <f>IF(B117="","",ROW()-7)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7" t="n"/>
      <c r="J117" s="17" t="n"/>
      <c r="K117" s="12" t="n"/>
      <c r="L117" s="12" t="n"/>
      <c r="M117" s="12" t="n"/>
      <c r="N117" s="12" t="n"/>
      <c r="O117" s="12" t="n"/>
      <c r="P117" s="17" t="n"/>
      <c r="Q117" s="14">
        <f>IF(P117="","",TODAY()-P117)</f>
        <v/>
      </c>
      <c r="R117" s="12" t="n"/>
      <c r="S117" s="17" t="n"/>
      <c r="T117" s="12" t="n"/>
      <c r="U117" s="12" t="n"/>
      <c r="V117" s="12" t="n"/>
      <c r="W117" s="15" t="n"/>
      <c r="X117" s="12" t="n"/>
      <c r="Y117" s="12" t="n"/>
    </row>
    <row r="118">
      <c r="A118" s="11">
        <f>IF(B118="","",ROW()-7)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7" t="n"/>
      <c r="J118" s="17" t="n"/>
      <c r="K118" s="12" t="n"/>
      <c r="L118" s="12" t="n"/>
      <c r="M118" s="12" t="n"/>
      <c r="N118" s="12" t="n"/>
      <c r="O118" s="12" t="n"/>
      <c r="P118" s="17" t="n"/>
      <c r="Q118" s="14">
        <f>IF(P118="","",TODAY()-P118)</f>
        <v/>
      </c>
      <c r="R118" s="12" t="n"/>
      <c r="S118" s="17" t="n"/>
      <c r="T118" s="12" t="n"/>
      <c r="U118" s="12" t="n"/>
      <c r="V118" s="12" t="n"/>
      <c r="W118" s="15" t="n"/>
      <c r="X118" s="12" t="n"/>
      <c r="Y118" s="12" t="n"/>
    </row>
    <row r="119">
      <c r="A119" s="11">
        <f>IF(B119="","",ROW()-7)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7" t="n"/>
      <c r="J119" s="17" t="n"/>
      <c r="K119" s="12" t="n"/>
      <c r="L119" s="12" t="n"/>
      <c r="M119" s="12" t="n"/>
      <c r="N119" s="12" t="n"/>
      <c r="O119" s="12" t="n"/>
      <c r="P119" s="17" t="n"/>
      <c r="Q119" s="14">
        <f>IF(P119="","",TODAY()-P119)</f>
        <v/>
      </c>
      <c r="R119" s="12" t="n"/>
      <c r="S119" s="17" t="n"/>
      <c r="T119" s="12" t="n"/>
      <c r="U119" s="12" t="n"/>
      <c r="V119" s="12" t="n"/>
      <c r="W119" s="15" t="n"/>
      <c r="X119" s="12" t="n"/>
      <c r="Y119" s="12" t="n"/>
    </row>
    <row r="120">
      <c r="A120" s="11">
        <f>IF(B120="","",ROW()-7)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7" t="n"/>
      <c r="J120" s="17" t="n"/>
      <c r="K120" s="12" t="n"/>
      <c r="L120" s="12" t="n"/>
      <c r="M120" s="12" t="n"/>
      <c r="N120" s="12" t="n"/>
      <c r="O120" s="12" t="n"/>
      <c r="P120" s="17" t="n"/>
      <c r="Q120" s="14">
        <f>IF(P120="","",TODAY()-P120)</f>
        <v/>
      </c>
      <c r="R120" s="12" t="n"/>
      <c r="S120" s="17" t="n"/>
      <c r="T120" s="12" t="n"/>
      <c r="U120" s="12" t="n"/>
      <c r="V120" s="12" t="n"/>
      <c r="W120" s="15" t="n"/>
      <c r="X120" s="12" t="n"/>
      <c r="Y120" s="12" t="n"/>
    </row>
    <row r="121">
      <c r="A121" s="11">
        <f>IF(B121="","",ROW()-7)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7" t="n"/>
      <c r="J121" s="17" t="n"/>
      <c r="K121" s="12" t="n"/>
      <c r="L121" s="12" t="n"/>
      <c r="M121" s="12" t="n"/>
      <c r="N121" s="12" t="n"/>
      <c r="O121" s="12" t="n"/>
      <c r="P121" s="17" t="n"/>
      <c r="Q121" s="14">
        <f>IF(P121="","",TODAY()-P121)</f>
        <v/>
      </c>
      <c r="R121" s="12" t="n"/>
      <c r="S121" s="17" t="n"/>
      <c r="T121" s="12" t="n"/>
      <c r="U121" s="12" t="n"/>
      <c r="V121" s="12" t="n"/>
      <c r="W121" s="15" t="n"/>
      <c r="X121" s="12" t="n"/>
      <c r="Y121" s="12" t="n"/>
    </row>
    <row r="122">
      <c r="A122" s="11">
        <f>IF(B122="","",ROW()-7)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7" t="n"/>
      <c r="J122" s="17" t="n"/>
      <c r="K122" s="12" t="n"/>
      <c r="L122" s="12" t="n"/>
      <c r="M122" s="12" t="n"/>
      <c r="N122" s="12" t="n"/>
      <c r="O122" s="12" t="n"/>
      <c r="P122" s="17" t="n"/>
      <c r="Q122" s="14">
        <f>IF(P122="","",TODAY()-P122)</f>
        <v/>
      </c>
      <c r="R122" s="12" t="n"/>
      <c r="S122" s="17" t="n"/>
      <c r="T122" s="12" t="n"/>
      <c r="U122" s="12" t="n"/>
      <c r="V122" s="12" t="n"/>
      <c r="W122" s="15" t="n"/>
      <c r="X122" s="12" t="n"/>
      <c r="Y122" s="12" t="n"/>
    </row>
    <row r="123">
      <c r="A123" s="11">
        <f>IF(B123="","",ROW()-7)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7" t="n"/>
      <c r="J123" s="17" t="n"/>
      <c r="K123" s="12" t="n"/>
      <c r="L123" s="12" t="n"/>
      <c r="M123" s="12" t="n"/>
      <c r="N123" s="12" t="n"/>
      <c r="O123" s="12" t="n"/>
      <c r="P123" s="17" t="n"/>
      <c r="Q123" s="14">
        <f>IF(P123="","",TODAY()-P123)</f>
        <v/>
      </c>
      <c r="R123" s="12" t="n"/>
      <c r="S123" s="17" t="n"/>
      <c r="T123" s="12" t="n"/>
      <c r="U123" s="12" t="n"/>
      <c r="V123" s="12" t="n"/>
      <c r="W123" s="15" t="n"/>
      <c r="X123" s="12" t="n"/>
      <c r="Y123" s="12" t="n"/>
    </row>
    <row r="124">
      <c r="A124" s="11">
        <f>IF(B124="","",ROW()-7)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7" t="n"/>
      <c r="J124" s="17" t="n"/>
      <c r="K124" s="12" t="n"/>
      <c r="L124" s="12" t="n"/>
      <c r="M124" s="12" t="n"/>
      <c r="N124" s="12" t="n"/>
      <c r="O124" s="12" t="n"/>
      <c r="P124" s="17" t="n"/>
      <c r="Q124" s="14">
        <f>IF(P124="","",TODAY()-P124)</f>
        <v/>
      </c>
      <c r="R124" s="12" t="n"/>
      <c r="S124" s="17" t="n"/>
      <c r="T124" s="12" t="n"/>
      <c r="U124" s="12" t="n"/>
      <c r="V124" s="12" t="n"/>
      <c r="W124" s="15" t="n"/>
      <c r="X124" s="12" t="n"/>
      <c r="Y124" s="12" t="n"/>
    </row>
    <row r="125">
      <c r="A125" s="11">
        <f>IF(B125="","",ROW()-7)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7" t="n"/>
      <c r="J125" s="17" t="n"/>
      <c r="K125" s="12" t="n"/>
      <c r="L125" s="12" t="n"/>
      <c r="M125" s="12" t="n"/>
      <c r="N125" s="12" t="n"/>
      <c r="O125" s="12" t="n"/>
      <c r="P125" s="17" t="n"/>
      <c r="Q125" s="14">
        <f>IF(P125="","",TODAY()-P125)</f>
        <v/>
      </c>
      <c r="R125" s="12" t="n"/>
      <c r="S125" s="17" t="n"/>
      <c r="T125" s="12" t="n"/>
      <c r="U125" s="12" t="n"/>
      <c r="V125" s="12" t="n"/>
      <c r="W125" s="15" t="n"/>
      <c r="X125" s="12" t="n"/>
      <c r="Y125" s="12" t="n"/>
    </row>
    <row r="126">
      <c r="A126" s="11">
        <f>IF(B126="","",ROW()-7)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7" t="n"/>
      <c r="J126" s="17" t="n"/>
      <c r="K126" s="12" t="n"/>
      <c r="L126" s="12" t="n"/>
      <c r="M126" s="12" t="n"/>
      <c r="N126" s="12" t="n"/>
      <c r="O126" s="12" t="n"/>
      <c r="P126" s="17" t="n"/>
      <c r="Q126" s="14">
        <f>IF(P126="","",TODAY()-P126)</f>
        <v/>
      </c>
      <c r="R126" s="12" t="n"/>
      <c r="S126" s="17" t="n"/>
      <c r="T126" s="12" t="n"/>
      <c r="U126" s="12" t="n"/>
      <c r="V126" s="12" t="n"/>
      <c r="W126" s="15" t="n"/>
      <c r="X126" s="12" t="n"/>
      <c r="Y126" s="12" t="n"/>
    </row>
    <row r="127">
      <c r="A127" s="11">
        <f>IF(B127="","",ROW()-7)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7" t="n"/>
      <c r="J127" s="17" t="n"/>
      <c r="K127" s="12" t="n"/>
      <c r="L127" s="12" t="n"/>
      <c r="M127" s="12" t="n"/>
      <c r="N127" s="12" t="n"/>
      <c r="O127" s="12" t="n"/>
      <c r="P127" s="17" t="n"/>
      <c r="Q127" s="14">
        <f>IF(P127="","",TODAY()-P127)</f>
        <v/>
      </c>
      <c r="R127" s="12" t="n"/>
      <c r="S127" s="17" t="n"/>
      <c r="T127" s="12" t="n"/>
      <c r="U127" s="12" t="n"/>
      <c r="V127" s="12" t="n"/>
      <c r="W127" s="15" t="n"/>
      <c r="X127" s="12" t="n"/>
      <c r="Y127" s="12" t="n"/>
    </row>
    <row r="128">
      <c r="A128" s="11">
        <f>IF(B128="","",ROW()-7)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7" t="n"/>
      <c r="J128" s="17" t="n"/>
      <c r="K128" s="12" t="n"/>
      <c r="L128" s="12" t="n"/>
      <c r="M128" s="12" t="n"/>
      <c r="N128" s="12" t="n"/>
      <c r="O128" s="12" t="n"/>
      <c r="P128" s="17" t="n"/>
      <c r="Q128" s="14">
        <f>IF(P128="","",TODAY()-P128)</f>
        <v/>
      </c>
      <c r="R128" s="12" t="n"/>
      <c r="S128" s="17" t="n"/>
      <c r="T128" s="12" t="n"/>
      <c r="U128" s="12" t="n"/>
      <c r="V128" s="12" t="n"/>
      <c r="W128" s="15" t="n"/>
      <c r="X128" s="12" t="n"/>
      <c r="Y128" s="12" t="n"/>
    </row>
    <row r="129">
      <c r="A129" s="11">
        <f>IF(B129="","",ROW()-7)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7" t="n"/>
      <c r="J129" s="17" t="n"/>
      <c r="K129" s="12" t="n"/>
      <c r="L129" s="12" t="n"/>
      <c r="M129" s="12" t="n"/>
      <c r="N129" s="12" t="n"/>
      <c r="O129" s="12" t="n"/>
      <c r="P129" s="17" t="n"/>
      <c r="Q129" s="14">
        <f>IF(P129="","",TODAY()-P129)</f>
        <v/>
      </c>
      <c r="R129" s="12" t="n"/>
      <c r="S129" s="17" t="n"/>
      <c r="T129" s="12" t="n"/>
      <c r="U129" s="12" t="n"/>
      <c r="V129" s="12" t="n"/>
      <c r="W129" s="15" t="n"/>
      <c r="X129" s="12" t="n"/>
      <c r="Y129" s="12" t="n"/>
    </row>
    <row r="130">
      <c r="A130" s="11">
        <f>IF(B130="","",ROW()-7)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7" t="n"/>
      <c r="J130" s="17" t="n"/>
      <c r="K130" s="12" t="n"/>
      <c r="L130" s="12" t="n"/>
      <c r="M130" s="12" t="n"/>
      <c r="N130" s="12" t="n"/>
      <c r="O130" s="12" t="n"/>
      <c r="P130" s="17" t="n"/>
      <c r="Q130" s="14">
        <f>IF(P130="","",TODAY()-P130)</f>
        <v/>
      </c>
      <c r="R130" s="12" t="n"/>
      <c r="S130" s="17" t="n"/>
      <c r="T130" s="12" t="n"/>
      <c r="U130" s="12" t="n"/>
      <c r="V130" s="12" t="n"/>
      <c r="W130" s="15" t="n"/>
      <c r="X130" s="12" t="n"/>
      <c r="Y130" s="12" t="n"/>
    </row>
    <row r="131">
      <c r="A131" s="11">
        <f>IF(B131="","",ROW()-7)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7" t="n"/>
      <c r="J131" s="17" t="n"/>
      <c r="K131" s="12" t="n"/>
      <c r="L131" s="12" t="n"/>
      <c r="M131" s="12" t="n"/>
      <c r="N131" s="12" t="n"/>
      <c r="O131" s="12" t="n"/>
      <c r="P131" s="17" t="n"/>
      <c r="Q131" s="14">
        <f>IF(P131="","",TODAY()-P131)</f>
        <v/>
      </c>
      <c r="R131" s="12" t="n"/>
      <c r="S131" s="17" t="n"/>
      <c r="T131" s="12" t="n"/>
      <c r="U131" s="12" t="n"/>
      <c r="V131" s="12" t="n"/>
      <c r="W131" s="15" t="n"/>
      <c r="X131" s="12" t="n"/>
      <c r="Y131" s="12" t="n"/>
    </row>
    <row r="132">
      <c r="A132" s="11">
        <f>IF(B132="","",ROW()-7)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7" t="n"/>
      <c r="J132" s="17" t="n"/>
      <c r="K132" s="12" t="n"/>
      <c r="L132" s="12" t="n"/>
      <c r="M132" s="12" t="n"/>
      <c r="N132" s="12" t="n"/>
      <c r="O132" s="12" t="n"/>
      <c r="P132" s="17" t="n"/>
      <c r="Q132" s="14">
        <f>IF(P132="","",TODAY()-P132)</f>
        <v/>
      </c>
      <c r="R132" s="12" t="n"/>
      <c r="S132" s="17" t="n"/>
      <c r="T132" s="12" t="n"/>
      <c r="U132" s="12" t="n"/>
      <c r="V132" s="12" t="n"/>
      <c r="W132" s="15" t="n"/>
      <c r="X132" s="12" t="n"/>
      <c r="Y132" s="12" t="n"/>
    </row>
    <row r="133">
      <c r="A133" s="11">
        <f>IF(B133="","",ROW()-7)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7" t="n"/>
      <c r="J133" s="17" t="n"/>
      <c r="K133" s="12" t="n"/>
      <c r="L133" s="12" t="n"/>
      <c r="M133" s="12" t="n"/>
      <c r="N133" s="12" t="n"/>
      <c r="O133" s="12" t="n"/>
      <c r="P133" s="17" t="n"/>
      <c r="Q133" s="14">
        <f>IF(P133="","",TODAY()-P133)</f>
        <v/>
      </c>
      <c r="R133" s="12" t="n"/>
      <c r="S133" s="17" t="n"/>
      <c r="T133" s="12" t="n"/>
      <c r="U133" s="12" t="n"/>
      <c r="V133" s="12" t="n"/>
      <c r="W133" s="15" t="n"/>
      <c r="X133" s="12" t="n"/>
      <c r="Y133" s="12" t="n"/>
    </row>
    <row r="134">
      <c r="A134" s="11">
        <f>IF(B134="","",ROW()-7)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7" t="n"/>
      <c r="J134" s="17" t="n"/>
      <c r="K134" s="12" t="n"/>
      <c r="L134" s="12" t="n"/>
      <c r="M134" s="12" t="n"/>
      <c r="N134" s="12" t="n"/>
      <c r="O134" s="12" t="n"/>
      <c r="P134" s="17" t="n"/>
      <c r="Q134" s="14">
        <f>IF(P134="","",TODAY()-P134)</f>
        <v/>
      </c>
      <c r="R134" s="12" t="n"/>
      <c r="S134" s="17" t="n"/>
      <c r="T134" s="12" t="n"/>
      <c r="U134" s="12" t="n"/>
      <c r="V134" s="12" t="n"/>
      <c r="W134" s="15" t="n"/>
      <c r="X134" s="12" t="n"/>
      <c r="Y134" s="12" t="n"/>
    </row>
    <row r="135">
      <c r="A135" s="11">
        <f>IF(B135="","",ROW()-7)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7" t="n"/>
      <c r="J135" s="17" t="n"/>
      <c r="K135" s="12" t="n"/>
      <c r="L135" s="12" t="n"/>
      <c r="M135" s="12" t="n"/>
      <c r="N135" s="12" t="n"/>
      <c r="O135" s="12" t="n"/>
      <c r="P135" s="17" t="n"/>
      <c r="Q135" s="14">
        <f>IF(P135="","",TODAY()-P135)</f>
        <v/>
      </c>
      <c r="R135" s="12" t="n"/>
      <c r="S135" s="17" t="n"/>
      <c r="T135" s="12" t="n"/>
      <c r="U135" s="12" t="n"/>
      <c r="V135" s="12" t="n"/>
      <c r="W135" s="15" t="n"/>
      <c r="X135" s="12" t="n"/>
      <c r="Y135" s="12" t="n"/>
    </row>
    <row r="136">
      <c r="A136" s="11">
        <f>IF(B136="","",ROW()-7)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7" t="n"/>
      <c r="J136" s="17" t="n"/>
      <c r="K136" s="12" t="n"/>
      <c r="L136" s="12" t="n"/>
      <c r="M136" s="12" t="n"/>
      <c r="N136" s="12" t="n"/>
      <c r="O136" s="12" t="n"/>
      <c r="P136" s="17" t="n"/>
      <c r="Q136" s="14">
        <f>IF(P136="","",TODAY()-P136)</f>
        <v/>
      </c>
      <c r="R136" s="12" t="n"/>
      <c r="S136" s="17" t="n"/>
      <c r="T136" s="12" t="n"/>
      <c r="U136" s="12" t="n"/>
      <c r="V136" s="12" t="n"/>
      <c r="W136" s="15" t="n"/>
      <c r="X136" s="12" t="n"/>
      <c r="Y136" s="12" t="n"/>
    </row>
    <row r="137">
      <c r="A137" s="11">
        <f>IF(B137="","",ROW()-7)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7" t="n"/>
      <c r="J137" s="17" t="n"/>
      <c r="K137" s="12" t="n"/>
      <c r="L137" s="12" t="n"/>
      <c r="M137" s="12" t="n"/>
      <c r="N137" s="12" t="n"/>
      <c r="O137" s="12" t="n"/>
      <c r="P137" s="17" t="n"/>
      <c r="Q137" s="14">
        <f>IF(P137="","",TODAY()-P137)</f>
        <v/>
      </c>
      <c r="R137" s="12" t="n"/>
      <c r="S137" s="17" t="n"/>
      <c r="T137" s="12" t="n"/>
      <c r="U137" s="12" t="n"/>
      <c r="V137" s="12" t="n"/>
      <c r="W137" s="15" t="n"/>
      <c r="X137" s="12" t="n"/>
      <c r="Y137" s="12" t="n"/>
    </row>
    <row r="138">
      <c r="A138" s="11">
        <f>IF(B138="","",ROW()-7)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7" t="n"/>
      <c r="J138" s="17" t="n"/>
      <c r="K138" s="12" t="n"/>
      <c r="L138" s="12" t="n"/>
      <c r="M138" s="12" t="n"/>
      <c r="N138" s="12" t="n"/>
      <c r="O138" s="12" t="n"/>
      <c r="P138" s="17" t="n"/>
      <c r="Q138" s="14">
        <f>IF(P138="","",TODAY()-P138)</f>
        <v/>
      </c>
      <c r="R138" s="12" t="n"/>
      <c r="S138" s="17" t="n"/>
      <c r="T138" s="12" t="n"/>
      <c r="U138" s="12" t="n"/>
      <c r="V138" s="12" t="n"/>
      <c r="W138" s="15" t="n"/>
      <c r="X138" s="12" t="n"/>
      <c r="Y138" s="12" t="n"/>
    </row>
    <row r="139">
      <c r="A139" s="11">
        <f>IF(B139="","",ROW()-7)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7" t="n"/>
      <c r="J139" s="17" t="n"/>
      <c r="K139" s="12" t="n"/>
      <c r="L139" s="12" t="n"/>
      <c r="M139" s="12" t="n"/>
      <c r="N139" s="12" t="n"/>
      <c r="O139" s="12" t="n"/>
      <c r="P139" s="17" t="n"/>
      <c r="Q139" s="14">
        <f>IF(P139="","",TODAY()-P139)</f>
        <v/>
      </c>
      <c r="R139" s="12" t="n"/>
      <c r="S139" s="17" t="n"/>
      <c r="T139" s="12" t="n"/>
      <c r="U139" s="12" t="n"/>
      <c r="V139" s="12" t="n"/>
      <c r="W139" s="15" t="n"/>
      <c r="X139" s="12" t="n"/>
      <c r="Y139" s="12" t="n"/>
    </row>
    <row r="140">
      <c r="A140" s="11">
        <f>IF(B140="","",ROW()-7)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7" t="n"/>
      <c r="J140" s="17" t="n"/>
      <c r="K140" s="12" t="n"/>
      <c r="L140" s="12" t="n"/>
      <c r="M140" s="12" t="n"/>
      <c r="N140" s="12" t="n"/>
      <c r="O140" s="12" t="n"/>
      <c r="P140" s="17" t="n"/>
      <c r="Q140" s="14">
        <f>IF(P140="","",TODAY()-P140)</f>
        <v/>
      </c>
      <c r="R140" s="12" t="n"/>
      <c r="S140" s="17" t="n"/>
      <c r="T140" s="12" t="n"/>
      <c r="U140" s="12" t="n"/>
      <c r="V140" s="12" t="n"/>
      <c r="W140" s="15" t="n"/>
      <c r="X140" s="12" t="n"/>
      <c r="Y140" s="12" t="n"/>
    </row>
    <row r="141">
      <c r="A141" s="11">
        <f>IF(B141="","",ROW()-7)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7" t="n"/>
      <c r="J141" s="17" t="n"/>
      <c r="K141" s="12" t="n"/>
      <c r="L141" s="12" t="n"/>
      <c r="M141" s="12" t="n"/>
      <c r="N141" s="12" t="n"/>
      <c r="O141" s="12" t="n"/>
      <c r="P141" s="17" t="n"/>
      <c r="Q141" s="14">
        <f>IF(P141="","",TODAY()-P141)</f>
        <v/>
      </c>
      <c r="R141" s="12" t="n"/>
      <c r="S141" s="17" t="n"/>
      <c r="T141" s="12" t="n"/>
      <c r="U141" s="12" t="n"/>
      <c r="V141" s="12" t="n"/>
      <c r="W141" s="15" t="n"/>
      <c r="X141" s="12" t="n"/>
      <c r="Y141" s="12" t="n"/>
    </row>
    <row r="142">
      <c r="A142" s="11">
        <f>IF(B142="","",ROW()-7)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7" t="n"/>
      <c r="J142" s="17" t="n"/>
      <c r="K142" s="12" t="n"/>
      <c r="L142" s="12" t="n"/>
      <c r="M142" s="12" t="n"/>
      <c r="N142" s="12" t="n"/>
      <c r="O142" s="12" t="n"/>
      <c r="P142" s="17" t="n"/>
      <c r="Q142" s="14">
        <f>IF(P142="","",TODAY()-P142)</f>
        <v/>
      </c>
      <c r="R142" s="12" t="n"/>
      <c r="S142" s="17" t="n"/>
      <c r="T142" s="12" t="n"/>
      <c r="U142" s="12" t="n"/>
      <c r="V142" s="12" t="n"/>
      <c r="W142" s="15" t="n"/>
      <c r="X142" s="12" t="n"/>
      <c r="Y142" s="12" t="n"/>
    </row>
    <row r="143">
      <c r="A143" s="11">
        <f>IF(B143="","",ROW()-7)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7" t="n"/>
      <c r="J143" s="17" t="n"/>
      <c r="K143" s="12" t="n"/>
      <c r="L143" s="12" t="n"/>
      <c r="M143" s="12" t="n"/>
      <c r="N143" s="12" t="n"/>
      <c r="O143" s="12" t="n"/>
      <c r="P143" s="17" t="n"/>
      <c r="Q143" s="14">
        <f>IF(P143="","",TODAY()-P143)</f>
        <v/>
      </c>
      <c r="R143" s="12" t="n"/>
      <c r="S143" s="17" t="n"/>
      <c r="T143" s="12" t="n"/>
      <c r="U143" s="12" t="n"/>
      <c r="V143" s="12" t="n"/>
      <c r="W143" s="15" t="n"/>
      <c r="X143" s="12" t="n"/>
      <c r="Y143" s="12" t="n"/>
    </row>
    <row r="144">
      <c r="A144" s="11">
        <f>IF(B144="","",ROW()-7)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7" t="n"/>
      <c r="J144" s="17" t="n"/>
      <c r="K144" s="12" t="n"/>
      <c r="L144" s="12" t="n"/>
      <c r="M144" s="12" t="n"/>
      <c r="N144" s="12" t="n"/>
      <c r="O144" s="12" t="n"/>
      <c r="P144" s="17" t="n"/>
      <c r="Q144" s="14">
        <f>IF(P144="","",TODAY()-P144)</f>
        <v/>
      </c>
      <c r="R144" s="12" t="n"/>
      <c r="S144" s="17" t="n"/>
      <c r="T144" s="12" t="n"/>
      <c r="U144" s="12" t="n"/>
      <c r="V144" s="12" t="n"/>
      <c r="W144" s="15" t="n"/>
      <c r="X144" s="12" t="n"/>
      <c r="Y144" s="12" t="n"/>
    </row>
    <row r="145">
      <c r="A145" s="11">
        <f>IF(B145="","",ROW()-7)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7" t="n"/>
      <c r="J145" s="17" t="n"/>
      <c r="K145" s="12" t="n"/>
      <c r="L145" s="12" t="n"/>
      <c r="M145" s="12" t="n"/>
      <c r="N145" s="12" t="n"/>
      <c r="O145" s="12" t="n"/>
      <c r="P145" s="17" t="n"/>
      <c r="Q145" s="14">
        <f>IF(P145="","",TODAY()-P145)</f>
        <v/>
      </c>
      <c r="R145" s="12" t="n"/>
      <c r="S145" s="17" t="n"/>
      <c r="T145" s="12" t="n"/>
      <c r="U145" s="12" t="n"/>
      <c r="V145" s="12" t="n"/>
      <c r="W145" s="15" t="n"/>
      <c r="X145" s="12" t="n"/>
      <c r="Y145" s="12" t="n"/>
    </row>
    <row r="146">
      <c r="A146" s="11">
        <f>IF(B146="","",ROW()-7)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7" t="n"/>
      <c r="J146" s="17" t="n"/>
      <c r="K146" s="12" t="n"/>
      <c r="L146" s="12" t="n"/>
      <c r="M146" s="12" t="n"/>
      <c r="N146" s="12" t="n"/>
      <c r="O146" s="12" t="n"/>
      <c r="P146" s="17" t="n"/>
      <c r="Q146" s="14">
        <f>IF(P146="","",TODAY()-P146)</f>
        <v/>
      </c>
      <c r="R146" s="12" t="n"/>
      <c r="S146" s="17" t="n"/>
      <c r="T146" s="12" t="n"/>
      <c r="U146" s="12" t="n"/>
      <c r="V146" s="12" t="n"/>
      <c r="W146" s="15" t="n"/>
      <c r="X146" s="12" t="n"/>
      <c r="Y146" s="12" t="n"/>
    </row>
    <row r="147">
      <c r="A147" s="11">
        <f>IF(B147="","",ROW()-7)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7" t="n"/>
      <c r="J147" s="17" t="n"/>
      <c r="K147" s="12" t="n"/>
      <c r="L147" s="12" t="n"/>
      <c r="M147" s="12" t="n"/>
      <c r="N147" s="12" t="n"/>
      <c r="O147" s="12" t="n"/>
      <c r="P147" s="17" t="n"/>
      <c r="Q147" s="14">
        <f>IF(P147="","",TODAY()-P147)</f>
        <v/>
      </c>
      <c r="R147" s="12" t="n"/>
      <c r="S147" s="17" t="n"/>
      <c r="T147" s="12" t="n"/>
      <c r="U147" s="12" t="n"/>
      <c r="V147" s="12" t="n"/>
      <c r="W147" s="15" t="n"/>
      <c r="X147" s="12" t="n"/>
      <c r="Y147" s="12" t="n"/>
    </row>
    <row r="148">
      <c r="A148" s="11">
        <f>IF(B148="","",ROW()-7)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7" t="n"/>
      <c r="J148" s="17" t="n"/>
      <c r="K148" s="12" t="n"/>
      <c r="L148" s="12" t="n"/>
      <c r="M148" s="12" t="n"/>
      <c r="N148" s="12" t="n"/>
      <c r="O148" s="12" t="n"/>
      <c r="P148" s="17" t="n"/>
      <c r="Q148" s="14">
        <f>IF(P148="","",TODAY()-P148)</f>
        <v/>
      </c>
      <c r="R148" s="12" t="n"/>
      <c r="S148" s="17" t="n"/>
      <c r="T148" s="12" t="n"/>
      <c r="U148" s="12" t="n"/>
      <c r="V148" s="12" t="n"/>
      <c r="W148" s="15" t="n"/>
      <c r="X148" s="12" t="n"/>
      <c r="Y148" s="12" t="n"/>
    </row>
    <row r="149">
      <c r="A149" s="11">
        <f>IF(B149="","",ROW()-7)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7" t="n"/>
      <c r="J149" s="17" t="n"/>
      <c r="K149" s="12" t="n"/>
      <c r="L149" s="12" t="n"/>
      <c r="M149" s="12" t="n"/>
      <c r="N149" s="12" t="n"/>
      <c r="O149" s="12" t="n"/>
      <c r="P149" s="17" t="n"/>
      <c r="Q149" s="14">
        <f>IF(P149="","",TODAY()-P149)</f>
        <v/>
      </c>
      <c r="R149" s="12" t="n"/>
      <c r="S149" s="17" t="n"/>
      <c r="T149" s="12" t="n"/>
      <c r="U149" s="12" t="n"/>
      <c r="V149" s="12" t="n"/>
      <c r="W149" s="15" t="n"/>
      <c r="X149" s="12" t="n"/>
      <c r="Y149" s="12" t="n"/>
    </row>
    <row r="150">
      <c r="A150" s="11">
        <f>IF(B150="","",ROW()-7)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7" t="n"/>
      <c r="J150" s="17" t="n"/>
      <c r="K150" s="12" t="n"/>
      <c r="L150" s="12" t="n"/>
      <c r="M150" s="12" t="n"/>
      <c r="N150" s="12" t="n"/>
      <c r="O150" s="12" t="n"/>
      <c r="P150" s="17" t="n"/>
      <c r="Q150" s="14">
        <f>IF(P150="","",TODAY()-P150)</f>
        <v/>
      </c>
      <c r="R150" s="12" t="n"/>
      <c r="S150" s="17" t="n"/>
      <c r="T150" s="12" t="n"/>
      <c r="U150" s="12" t="n"/>
      <c r="V150" s="12" t="n"/>
      <c r="W150" s="15" t="n"/>
      <c r="X150" s="12" t="n"/>
      <c r="Y150" s="12" t="n"/>
    </row>
    <row r="151">
      <c r="A151" s="11">
        <f>IF(B151="","",ROW()-7)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7" t="n"/>
      <c r="J151" s="17" t="n"/>
      <c r="K151" s="12" t="n"/>
      <c r="L151" s="12" t="n"/>
      <c r="M151" s="12" t="n"/>
      <c r="N151" s="12" t="n"/>
      <c r="O151" s="12" t="n"/>
      <c r="P151" s="17" t="n"/>
      <c r="Q151" s="14">
        <f>IF(P151="","",TODAY()-P151)</f>
        <v/>
      </c>
      <c r="R151" s="12" t="n"/>
      <c r="S151" s="17" t="n"/>
      <c r="T151" s="12" t="n"/>
      <c r="U151" s="12" t="n"/>
      <c r="V151" s="12" t="n"/>
      <c r="W151" s="15" t="n"/>
      <c r="X151" s="12" t="n"/>
      <c r="Y151" s="12" t="n"/>
    </row>
    <row r="152">
      <c r="A152" s="11">
        <f>IF(B152="","",ROW()-7)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7" t="n"/>
      <c r="J152" s="17" t="n"/>
      <c r="K152" s="12" t="n"/>
      <c r="L152" s="12" t="n"/>
      <c r="M152" s="12" t="n"/>
      <c r="N152" s="12" t="n"/>
      <c r="O152" s="12" t="n"/>
      <c r="P152" s="17" t="n"/>
      <c r="Q152" s="14">
        <f>IF(P152="","",TODAY()-P152)</f>
        <v/>
      </c>
      <c r="R152" s="12" t="n"/>
      <c r="S152" s="17" t="n"/>
      <c r="T152" s="12" t="n"/>
      <c r="U152" s="12" t="n"/>
      <c r="V152" s="12" t="n"/>
      <c r="W152" s="15" t="n"/>
      <c r="X152" s="12" t="n"/>
      <c r="Y152" s="12" t="n"/>
    </row>
    <row r="153">
      <c r="A153" s="11">
        <f>IF(B153="","",ROW()-7)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7" t="n"/>
      <c r="J153" s="17" t="n"/>
      <c r="K153" s="12" t="n"/>
      <c r="L153" s="12" t="n"/>
      <c r="M153" s="12" t="n"/>
      <c r="N153" s="12" t="n"/>
      <c r="O153" s="12" t="n"/>
      <c r="P153" s="17" t="n"/>
      <c r="Q153" s="14">
        <f>IF(P153="","",TODAY()-P153)</f>
        <v/>
      </c>
      <c r="R153" s="12" t="n"/>
      <c r="S153" s="17" t="n"/>
      <c r="T153" s="12" t="n"/>
      <c r="U153" s="12" t="n"/>
      <c r="V153" s="12" t="n"/>
      <c r="W153" s="15" t="n"/>
      <c r="X153" s="12" t="n"/>
      <c r="Y153" s="12" t="n"/>
    </row>
    <row r="154">
      <c r="A154" s="11">
        <f>IF(B154="","",ROW()-7)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7" t="n"/>
      <c r="J154" s="17" t="n"/>
      <c r="K154" s="12" t="n"/>
      <c r="L154" s="12" t="n"/>
      <c r="M154" s="12" t="n"/>
      <c r="N154" s="12" t="n"/>
      <c r="O154" s="12" t="n"/>
      <c r="P154" s="17" t="n"/>
      <c r="Q154" s="14">
        <f>IF(P154="","",TODAY()-P154)</f>
        <v/>
      </c>
      <c r="R154" s="12" t="n"/>
      <c r="S154" s="17" t="n"/>
      <c r="T154" s="12" t="n"/>
      <c r="U154" s="12" t="n"/>
      <c r="V154" s="12" t="n"/>
      <c r="W154" s="15" t="n"/>
      <c r="X154" s="12" t="n"/>
      <c r="Y154" s="12" t="n"/>
    </row>
    <row r="155">
      <c r="A155" s="11">
        <f>IF(B155="","",ROW()-7)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7" t="n"/>
      <c r="J155" s="17" t="n"/>
      <c r="K155" s="12" t="n"/>
      <c r="L155" s="12" t="n"/>
      <c r="M155" s="12" t="n"/>
      <c r="N155" s="12" t="n"/>
      <c r="O155" s="12" t="n"/>
      <c r="P155" s="17" t="n"/>
      <c r="Q155" s="14">
        <f>IF(P155="","",TODAY()-P155)</f>
        <v/>
      </c>
      <c r="R155" s="12" t="n"/>
      <c r="S155" s="17" t="n"/>
      <c r="T155" s="12" t="n"/>
      <c r="U155" s="12" t="n"/>
      <c r="V155" s="12" t="n"/>
      <c r="W155" s="15" t="n"/>
      <c r="X155" s="12" t="n"/>
      <c r="Y155" s="12" t="n"/>
    </row>
    <row r="156">
      <c r="A156" s="11">
        <f>IF(B156="","",ROW()-7)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7" t="n"/>
      <c r="J156" s="17" t="n"/>
      <c r="K156" s="12" t="n"/>
      <c r="L156" s="12" t="n"/>
      <c r="M156" s="12" t="n"/>
      <c r="N156" s="12" t="n"/>
      <c r="O156" s="12" t="n"/>
      <c r="P156" s="17" t="n"/>
      <c r="Q156" s="14">
        <f>IF(P156="","",TODAY()-P156)</f>
        <v/>
      </c>
      <c r="R156" s="12" t="n"/>
      <c r="S156" s="17" t="n"/>
      <c r="T156" s="12" t="n"/>
      <c r="U156" s="12" t="n"/>
      <c r="V156" s="12" t="n"/>
      <c r="W156" s="15" t="n"/>
      <c r="X156" s="12" t="n"/>
      <c r="Y156" s="12" t="n"/>
    </row>
    <row r="157">
      <c r="A157" s="11">
        <f>IF(B157="","",ROW()-7)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7" t="n"/>
      <c r="J157" s="17" t="n"/>
      <c r="K157" s="12" t="n"/>
      <c r="L157" s="12" t="n"/>
      <c r="M157" s="12" t="n"/>
      <c r="N157" s="12" t="n"/>
      <c r="O157" s="12" t="n"/>
      <c r="P157" s="17" t="n"/>
      <c r="Q157" s="14">
        <f>IF(P157="","",TODAY()-P157)</f>
        <v/>
      </c>
      <c r="R157" s="12" t="n"/>
      <c r="S157" s="17" t="n"/>
      <c r="T157" s="12" t="n"/>
      <c r="U157" s="12" t="n"/>
      <c r="V157" s="12" t="n"/>
      <c r="W157" s="15" t="n"/>
      <c r="X157" s="12" t="n"/>
      <c r="Y157" s="12" t="n"/>
    </row>
    <row r="158">
      <c r="A158" s="11">
        <f>IF(B158="","",ROW()-7)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7" t="n"/>
      <c r="J158" s="17" t="n"/>
      <c r="K158" s="12" t="n"/>
      <c r="L158" s="12" t="n"/>
      <c r="M158" s="12" t="n"/>
      <c r="N158" s="12" t="n"/>
      <c r="O158" s="12" t="n"/>
      <c r="P158" s="17" t="n"/>
      <c r="Q158" s="14">
        <f>IF(P158="","",TODAY()-P158)</f>
        <v/>
      </c>
      <c r="R158" s="12" t="n"/>
      <c r="S158" s="17" t="n"/>
      <c r="T158" s="12" t="n"/>
      <c r="U158" s="12" t="n"/>
      <c r="V158" s="12" t="n"/>
      <c r="W158" s="15" t="n"/>
      <c r="X158" s="12" t="n"/>
      <c r="Y158" s="12" t="n"/>
    </row>
    <row r="159">
      <c r="A159" s="11">
        <f>IF(B159="","",ROW()-7)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7" t="n"/>
      <c r="J159" s="17" t="n"/>
      <c r="K159" s="12" t="n"/>
      <c r="L159" s="12" t="n"/>
      <c r="M159" s="12" t="n"/>
      <c r="N159" s="12" t="n"/>
      <c r="O159" s="12" t="n"/>
      <c r="P159" s="17" t="n"/>
      <c r="Q159" s="14">
        <f>IF(P159="","",TODAY()-P159)</f>
        <v/>
      </c>
      <c r="R159" s="12" t="n"/>
      <c r="S159" s="17" t="n"/>
      <c r="T159" s="12" t="n"/>
      <c r="U159" s="12" t="n"/>
      <c r="V159" s="12" t="n"/>
      <c r="W159" s="15" t="n"/>
      <c r="X159" s="12" t="n"/>
      <c r="Y159" s="12" t="n"/>
    </row>
    <row r="160">
      <c r="A160" s="11">
        <f>IF(B160="","",ROW()-7)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7" t="n"/>
      <c r="J160" s="17" t="n"/>
      <c r="K160" s="12" t="n"/>
      <c r="L160" s="12" t="n"/>
      <c r="M160" s="12" t="n"/>
      <c r="N160" s="12" t="n"/>
      <c r="O160" s="12" t="n"/>
      <c r="P160" s="17" t="n"/>
      <c r="Q160" s="14">
        <f>IF(P160="","",TODAY()-P160)</f>
        <v/>
      </c>
      <c r="R160" s="12" t="n"/>
      <c r="S160" s="17" t="n"/>
      <c r="T160" s="12" t="n"/>
      <c r="U160" s="12" t="n"/>
      <c r="V160" s="12" t="n"/>
      <c r="W160" s="15" t="n"/>
      <c r="X160" s="12" t="n"/>
      <c r="Y160" s="12" t="n"/>
    </row>
    <row r="161">
      <c r="A161" s="11">
        <f>IF(B161="","",ROW()-7)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7" t="n"/>
      <c r="J161" s="17" t="n"/>
      <c r="K161" s="12" t="n"/>
      <c r="L161" s="12" t="n"/>
      <c r="M161" s="12" t="n"/>
      <c r="N161" s="12" t="n"/>
      <c r="O161" s="12" t="n"/>
      <c r="P161" s="17" t="n"/>
      <c r="Q161" s="14">
        <f>IF(P161="","",TODAY()-P161)</f>
        <v/>
      </c>
      <c r="R161" s="12" t="n"/>
      <c r="S161" s="17" t="n"/>
      <c r="T161" s="12" t="n"/>
      <c r="U161" s="12" t="n"/>
      <c r="V161" s="12" t="n"/>
      <c r="W161" s="15" t="n"/>
      <c r="X161" s="12" t="n"/>
      <c r="Y161" s="12" t="n"/>
    </row>
    <row r="162">
      <c r="A162" s="11">
        <f>IF(B162="","",ROW()-7)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7" t="n"/>
      <c r="J162" s="17" t="n"/>
      <c r="K162" s="12" t="n"/>
      <c r="L162" s="12" t="n"/>
      <c r="M162" s="12" t="n"/>
      <c r="N162" s="12" t="n"/>
      <c r="O162" s="12" t="n"/>
      <c r="P162" s="17" t="n"/>
      <c r="Q162" s="14">
        <f>IF(P162="","",TODAY()-P162)</f>
        <v/>
      </c>
      <c r="R162" s="12" t="n"/>
      <c r="S162" s="17" t="n"/>
      <c r="T162" s="12" t="n"/>
      <c r="U162" s="12" t="n"/>
      <c r="V162" s="12" t="n"/>
      <c r="W162" s="15" t="n"/>
      <c r="X162" s="12" t="n"/>
      <c r="Y162" s="12" t="n"/>
    </row>
    <row r="163">
      <c r="A163" s="11">
        <f>IF(B163="","",ROW()-7)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7" t="n"/>
      <c r="J163" s="17" t="n"/>
      <c r="K163" s="12" t="n"/>
      <c r="L163" s="12" t="n"/>
      <c r="M163" s="12" t="n"/>
      <c r="N163" s="12" t="n"/>
      <c r="O163" s="12" t="n"/>
      <c r="P163" s="17" t="n"/>
      <c r="Q163" s="14">
        <f>IF(P163="","",TODAY()-P163)</f>
        <v/>
      </c>
      <c r="R163" s="12" t="n"/>
      <c r="S163" s="17" t="n"/>
      <c r="T163" s="12" t="n"/>
      <c r="U163" s="12" t="n"/>
      <c r="V163" s="12" t="n"/>
      <c r="W163" s="15" t="n"/>
      <c r="X163" s="12" t="n"/>
      <c r="Y163" s="12" t="n"/>
    </row>
    <row r="164">
      <c r="A164" s="11">
        <f>IF(B164="","",ROW()-7)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7" t="n"/>
      <c r="J164" s="17" t="n"/>
      <c r="K164" s="12" t="n"/>
      <c r="L164" s="12" t="n"/>
      <c r="M164" s="12" t="n"/>
      <c r="N164" s="12" t="n"/>
      <c r="O164" s="12" t="n"/>
      <c r="P164" s="17" t="n"/>
      <c r="Q164" s="14">
        <f>IF(P164="","",TODAY()-P164)</f>
        <v/>
      </c>
      <c r="R164" s="12" t="n"/>
      <c r="S164" s="17" t="n"/>
      <c r="T164" s="12" t="n"/>
      <c r="U164" s="12" t="n"/>
      <c r="V164" s="12" t="n"/>
      <c r="W164" s="15" t="n"/>
      <c r="X164" s="12" t="n"/>
      <c r="Y164" s="12" t="n"/>
    </row>
    <row r="165">
      <c r="A165" s="11">
        <f>IF(B165="","",ROW()-7)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7" t="n"/>
      <c r="J165" s="17" t="n"/>
      <c r="K165" s="12" t="n"/>
      <c r="L165" s="12" t="n"/>
      <c r="M165" s="12" t="n"/>
      <c r="N165" s="12" t="n"/>
      <c r="O165" s="12" t="n"/>
      <c r="P165" s="17" t="n"/>
      <c r="Q165" s="14">
        <f>IF(P165="","",TODAY()-P165)</f>
        <v/>
      </c>
      <c r="R165" s="12" t="n"/>
      <c r="S165" s="17" t="n"/>
      <c r="T165" s="12" t="n"/>
      <c r="U165" s="12" t="n"/>
      <c r="V165" s="12" t="n"/>
      <c r="W165" s="15" t="n"/>
      <c r="X165" s="12" t="n"/>
      <c r="Y165" s="12" t="n"/>
    </row>
    <row r="166">
      <c r="A166" s="11">
        <f>IF(B166="","",ROW()-7)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7" t="n"/>
      <c r="J166" s="17" t="n"/>
      <c r="K166" s="12" t="n"/>
      <c r="L166" s="12" t="n"/>
      <c r="M166" s="12" t="n"/>
      <c r="N166" s="12" t="n"/>
      <c r="O166" s="12" t="n"/>
      <c r="P166" s="17" t="n"/>
      <c r="Q166" s="14">
        <f>IF(P166="","",TODAY()-P166)</f>
        <v/>
      </c>
      <c r="R166" s="12" t="n"/>
      <c r="S166" s="17" t="n"/>
      <c r="T166" s="12" t="n"/>
      <c r="U166" s="12" t="n"/>
      <c r="V166" s="12" t="n"/>
      <c r="W166" s="15" t="n"/>
      <c r="X166" s="12" t="n"/>
      <c r="Y166" s="12" t="n"/>
    </row>
    <row r="167">
      <c r="A167" s="11">
        <f>IF(B167="","",ROW()-7)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7" t="n"/>
      <c r="J167" s="17" t="n"/>
      <c r="K167" s="12" t="n"/>
      <c r="L167" s="12" t="n"/>
      <c r="M167" s="12" t="n"/>
      <c r="N167" s="12" t="n"/>
      <c r="O167" s="12" t="n"/>
      <c r="P167" s="17" t="n"/>
      <c r="Q167" s="14">
        <f>IF(P167="","",TODAY()-P167)</f>
        <v/>
      </c>
      <c r="R167" s="12" t="n"/>
      <c r="S167" s="17" t="n"/>
      <c r="T167" s="12" t="n"/>
      <c r="U167" s="12" t="n"/>
      <c r="V167" s="12" t="n"/>
      <c r="W167" s="15" t="n"/>
      <c r="X167" s="12" t="n"/>
      <c r="Y167" s="12" t="n"/>
    </row>
    <row r="168">
      <c r="A168" s="11">
        <f>IF(B168="","",ROW()-7)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7" t="n"/>
      <c r="J168" s="17" t="n"/>
      <c r="K168" s="12" t="n"/>
      <c r="L168" s="12" t="n"/>
      <c r="M168" s="12" t="n"/>
      <c r="N168" s="12" t="n"/>
      <c r="O168" s="12" t="n"/>
      <c r="P168" s="17" t="n"/>
      <c r="Q168" s="14">
        <f>IF(P168="","",TODAY()-P168)</f>
        <v/>
      </c>
      <c r="R168" s="12" t="n"/>
      <c r="S168" s="17" t="n"/>
      <c r="T168" s="12" t="n"/>
      <c r="U168" s="12" t="n"/>
      <c r="V168" s="12" t="n"/>
      <c r="W168" s="15" t="n"/>
      <c r="X168" s="12" t="n"/>
      <c r="Y168" s="12" t="n"/>
    </row>
    <row r="169">
      <c r="A169" s="11">
        <f>IF(B169="","",ROW()-7)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7" t="n"/>
      <c r="J169" s="17" t="n"/>
      <c r="K169" s="12" t="n"/>
      <c r="L169" s="12" t="n"/>
      <c r="M169" s="12" t="n"/>
      <c r="N169" s="12" t="n"/>
      <c r="O169" s="12" t="n"/>
      <c r="P169" s="17" t="n"/>
      <c r="Q169" s="14">
        <f>IF(P169="","",TODAY()-P169)</f>
        <v/>
      </c>
      <c r="R169" s="12" t="n"/>
      <c r="S169" s="17" t="n"/>
      <c r="T169" s="12" t="n"/>
      <c r="U169" s="12" t="n"/>
      <c r="V169" s="12" t="n"/>
      <c r="W169" s="15" t="n"/>
      <c r="X169" s="12" t="n"/>
      <c r="Y169" s="12" t="n"/>
    </row>
    <row r="170">
      <c r="A170" s="11">
        <f>IF(B170="","",ROW()-7)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7" t="n"/>
      <c r="J170" s="17" t="n"/>
      <c r="K170" s="12" t="n"/>
      <c r="L170" s="12" t="n"/>
      <c r="M170" s="12" t="n"/>
      <c r="N170" s="12" t="n"/>
      <c r="O170" s="12" t="n"/>
      <c r="P170" s="17" t="n"/>
      <c r="Q170" s="14">
        <f>IF(P170="","",TODAY()-P170)</f>
        <v/>
      </c>
      <c r="R170" s="12" t="n"/>
      <c r="S170" s="17" t="n"/>
      <c r="T170" s="12" t="n"/>
      <c r="U170" s="12" t="n"/>
      <c r="V170" s="12" t="n"/>
      <c r="W170" s="15" t="n"/>
      <c r="X170" s="12" t="n"/>
      <c r="Y170" s="12" t="n"/>
    </row>
    <row r="171">
      <c r="A171" s="11">
        <f>IF(B171="","",ROW()-7)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7" t="n"/>
      <c r="J171" s="17" t="n"/>
      <c r="K171" s="12" t="n"/>
      <c r="L171" s="12" t="n"/>
      <c r="M171" s="12" t="n"/>
      <c r="N171" s="12" t="n"/>
      <c r="O171" s="12" t="n"/>
      <c r="P171" s="17" t="n"/>
      <c r="Q171" s="14">
        <f>IF(P171="","",TODAY()-P171)</f>
        <v/>
      </c>
      <c r="R171" s="12" t="n"/>
      <c r="S171" s="17" t="n"/>
      <c r="T171" s="12" t="n"/>
      <c r="U171" s="12" t="n"/>
      <c r="V171" s="12" t="n"/>
      <c r="W171" s="15" t="n"/>
      <c r="X171" s="12" t="n"/>
      <c r="Y171" s="12" t="n"/>
    </row>
    <row r="172">
      <c r="A172" s="11">
        <f>IF(B172="","",ROW()-7)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7" t="n"/>
      <c r="J172" s="17" t="n"/>
      <c r="K172" s="12" t="n"/>
      <c r="L172" s="12" t="n"/>
      <c r="M172" s="12" t="n"/>
      <c r="N172" s="12" t="n"/>
      <c r="O172" s="12" t="n"/>
      <c r="P172" s="17" t="n"/>
      <c r="Q172" s="14">
        <f>IF(P172="","",TODAY()-P172)</f>
        <v/>
      </c>
      <c r="R172" s="12" t="n"/>
      <c r="S172" s="17" t="n"/>
      <c r="T172" s="12" t="n"/>
      <c r="U172" s="12" t="n"/>
      <c r="V172" s="12" t="n"/>
      <c r="W172" s="15" t="n"/>
      <c r="X172" s="12" t="n"/>
      <c r="Y172" s="12" t="n"/>
    </row>
    <row r="173">
      <c r="A173" s="11">
        <f>IF(B173="","",ROW()-7)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7" t="n"/>
      <c r="J173" s="17" t="n"/>
      <c r="K173" s="12" t="n"/>
      <c r="L173" s="12" t="n"/>
      <c r="M173" s="12" t="n"/>
      <c r="N173" s="12" t="n"/>
      <c r="O173" s="12" t="n"/>
      <c r="P173" s="17" t="n"/>
      <c r="Q173" s="14">
        <f>IF(P173="","",TODAY()-P173)</f>
        <v/>
      </c>
      <c r="R173" s="12" t="n"/>
      <c r="S173" s="17" t="n"/>
      <c r="T173" s="12" t="n"/>
      <c r="U173" s="12" t="n"/>
      <c r="V173" s="12" t="n"/>
      <c r="W173" s="15" t="n"/>
      <c r="X173" s="12" t="n"/>
      <c r="Y173" s="12" t="n"/>
    </row>
    <row r="174">
      <c r="A174" s="11">
        <f>IF(B174="","",ROW()-7)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7" t="n"/>
      <c r="J174" s="17" t="n"/>
      <c r="K174" s="12" t="n"/>
      <c r="L174" s="12" t="n"/>
      <c r="M174" s="12" t="n"/>
      <c r="N174" s="12" t="n"/>
      <c r="O174" s="12" t="n"/>
      <c r="P174" s="17" t="n"/>
      <c r="Q174" s="14">
        <f>IF(P174="","",TODAY()-P174)</f>
        <v/>
      </c>
      <c r="R174" s="12" t="n"/>
      <c r="S174" s="17" t="n"/>
      <c r="T174" s="12" t="n"/>
      <c r="U174" s="12" t="n"/>
      <c r="V174" s="12" t="n"/>
      <c r="W174" s="15" t="n"/>
      <c r="X174" s="12" t="n"/>
      <c r="Y174" s="12" t="n"/>
    </row>
    <row r="175">
      <c r="A175" s="11">
        <f>IF(B175="","",ROW()-7)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7" t="n"/>
      <c r="J175" s="17" t="n"/>
      <c r="K175" s="12" t="n"/>
      <c r="L175" s="12" t="n"/>
      <c r="M175" s="12" t="n"/>
      <c r="N175" s="12" t="n"/>
      <c r="O175" s="12" t="n"/>
      <c r="P175" s="17" t="n"/>
      <c r="Q175" s="14">
        <f>IF(P175="","",TODAY()-P175)</f>
        <v/>
      </c>
      <c r="R175" s="12" t="n"/>
      <c r="S175" s="17" t="n"/>
      <c r="T175" s="12" t="n"/>
      <c r="U175" s="12" t="n"/>
      <c r="V175" s="12" t="n"/>
      <c r="W175" s="15" t="n"/>
      <c r="X175" s="12" t="n"/>
      <c r="Y175" s="12" t="n"/>
    </row>
    <row r="176">
      <c r="A176" s="11">
        <f>IF(B176="","",ROW()-7)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7" t="n"/>
      <c r="J176" s="17" t="n"/>
      <c r="K176" s="12" t="n"/>
      <c r="L176" s="12" t="n"/>
      <c r="M176" s="12" t="n"/>
      <c r="N176" s="12" t="n"/>
      <c r="O176" s="12" t="n"/>
      <c r="P176" s="17" t="n"/>
      <c r="Q176" s="14">
        <f>IF(P176="","",TODAY()-P176)</f>
        <v/>
      </c>
      <c r="R176" s="12" t="n"/>
      <c r="S176" s="17" t="n"/>
      <c r="T176" s="12" t="n"/>
      <c r="U176" s="12" t="n"/>
      <c r="V176" s="12" t="n"/>
      <c r="W176" s="15" t="n"/>
      <c r="X176" s="12" t="n"/>
      <c r="Y176" s="12" t="n"/>
    </row>
    <row r="177">
      <c r="A177" s="11">
        <f>IF(B177="","",ROW()-7)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7" t="n"/>
      <c r="J177" s="17" t="n"/>
      <c r="K177" s="12" t="n"/>
      <c r="L177" s="12" t="n"/>
      <c r="M177" s="12" t="n"/>
      <c r="N177" s="12" t="n"/>
      <c r="O177" s="12" t="n"/>
      <c r="P177" s="17" t="n"/>
      <c r="Q177" s="14">
        <f>IF(P177="","",TODAY()-P177)</f>
        <v/>
      </c>
      <c r="R177" s="12" t="n"/>
      <c r="S177" s="17" t="n"/>
      <c r="T177" s="12" t="n"/>
      <c r="U177" s="12" t="n"/>
      <c r="V177" s="12" t="n"/>
      <c r="W177" s="15" t="n"/>
      <c r="X177" s="12" t="n"/>
      <c r="Y177" s="12" t="n"/>
    </row>
    <row r="178">
      <c r="A178" s="11">
        <f>IF(B178="","",ROW()-7)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7" t="n"/>
      <c r="J178" s="17" t="n"/>
      <c r="K178" s="12" t="n"/>
      <c r="L178" s="12" t="n"/>
      <c r="M178" s="12" t="n"/>
      <c r="N178" s="12" t="n"/>
      <c r="O178" s="12" t="n"/>
      <c r="P178" s="17" t="n"/>
      <c r="Q178" s="14">
        <f>IF(P178="","",TODAY()-P178)</f>
        <v/>
      </c>
      <c r="R178" s="12" t="n"/>
      <c r="S178" s="17" t="n"/>
      <c r="T178" s="12" t="n"/>
      <c r="U178" s="12" t="n"/>
      <c r="V178" s="12" t="n"/>
      <c r="W178" s="15" t="n"/>
      <c r="X178" s="12" t="n"/>
      <c r="Y178" s="12" t="n"/>
    </row>
    <row r="179">
      <c r="A179" s="11">
        <f>IF(B179="","",ROW()-7)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7" t="n"/>
      <c r="J179" s="17" t="n"/>
      <c r="K179" s="12" t="n"/>
      <c r="L179" s="12" t="n"/>
      <c r="M179" s="12" t="n"/>
      <c r="N179" s="12" t="n"/>
      <c r="O179" s="12" t="n"/>
      <c r="P179" s="17" t="n"/>
      <c r="Q179" s="14">
        <f>IF(P179="","",TODAY()-P179)</f>
        <v/>
      </c>
      <c r="R179" s="12" t="n"/>
      <c r="S179" s="17" t="n"/>
      <c r="T179" s="12" t="n"/>
      <c r="U179" s="12" t="n"/>
      <c r="V179" s="12" t="n"/>
      <c r="W179" s="15" t="n"/>
      <c r="X179" s="12" t="n"/>
      <c r="Y179" s="12" t="n"/>
    </row>
    <row r="180">
      <c r="A180" s="11">
        <f>IF(B180="","",ROW()-7)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7" t="n"/>
      <c r="J180" s="17" t="n"/>
      <c r="K180" s="12" t="n"/>
      <c r="L180" s="12" t="n"/>
      <c r="M180" s="12" t="n"/>
      <c r="N180" s="12" t="n"/>
      <c r="O180" s="12" t="n"/>
      <c r="P180" s="17" t="n"/>
      <c r="Q180" s="14">
        <f>IF(P180="","",TODAY()-P180)</f>
        <v/>
      </c>
      <c r="R180" s="12" t="n"/>
      <c r="S180" s="17" t="n"/>
      <c r="T180" s="12" t="n"/>
      <c r="U180" s="12" t="n"/>
      <c r="V180" s="12" t="n"/>
      <c r="W180" s="15" t="n"/>
      <c r="X180" s="12" t="n"/>
      <c r="Y180" s="12" t="n"/>
    </row>
    <row r="181">
      <c r="A181" s="11">
        <f>IF(B181="","",ROW()-7)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7" t="n"/>
      <c r="J181" s="17" t="n"/>
      <c r="K181" s="12" t="n"/>
      <c r="L181" s="12" t="n"/>
      <c r="M181" s="12" t="n"/>
      <c r="N181" s="12" t="n"/>
      <c r="O181" s="12" t="n"/>
      <c r="P181" s="17" t="n"/>
      <c r="Q181" s="14">
        <f>IF(P181="","",TODAY()-P181)</f>
        <v/>
      </c>
      <c r="R181" s="12" t="n"/>
      <c r="S181" s="17" t="n"/>
      <c r="T181" s="12" t="n"/>
      <c r="U181" s="12" t="n"/>
      <c r="V181" s="12" t="n"/>
      <c r="W181" s="15" t="n"/>
      <c r="X181" s="12" t="n"/>
      <c r="Y181" s="12" t="n"/>
    </row>
    <row r="182">
      <c r="A182" s="11">
        <f>IF(B182="","",ROW()-7)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7" t="n"/>
      <c r="J182" s="17" t="n"/>
      <c r="K182" s="12" t="n"/>
      <c r="L182" s="12" t="n"/>
      <c r="M182" s="12" t="n"/>
      <c r="N182" s="12" t="n"/>
      <c r="O182" s="12" t="n"/>
      <c r="P182" s="17" t="n"/>
      <c r="Q182" s="14">
        <f>IF(P182="","",TODAY()-P182)</f>
        <v/>
      </c>
      <c r="R182" s="12" t="n"/>
      <c r="S182" s="17" t="n"/>
      <c r="T182" s="12" t="n"/>
      <c r="U182" s="12" t="n"/>
      <c r="V182" s="12" t="n"/>
      <c r="W182" s="15" t="n"/>
      <c r="X182" s="12" t="n"/>
      <c r="Y182" s="12" t="n"/>
    </row>
    <row r="183">
      <c r="A183" s="11">
        <f>IF(B183="","",ROW()-7)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7" t="n"/>
      <c r="J183" s="17" t="n"/>
      <c r="K183" s="12" t="n"/>
      <c r="L183" s="12" t="n"/>
      <c r="M183" s="12" t="n"/>
      <c r="N183" s="12" t="n"/>
      <c r="O183" s="12" t="n"/>
      <c r="P183" s="17" t="n"/>
      <c r="Q183" s="14">
        <f>IF(P183="","",TODAY()-P183)</f>
        <v/>
      </c>
      <c r="R183" s="12" t="n"/>
      <c r="S183" s="17" t="n"/>
      <c r="T183" s="12" t="n"/>
      <c r="U183" s="12" t="n"/>
      <c r="V183" s="12" t="n"/>
      <c r="W183" s="15" t="n"/>
      <c r="X183" s="12" t="n"/>
      <c r="Y183" s="12" t="n"/>
    </row>
    <row r="184">
      <c r="A184" s="11">
        <f>IF(B184="","",ROW()-7)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7" t="n"/>
      <c r="J184" s="17" t="n"/>
      <c r="K184" s="12" t="n"/>
      <c r="L184" s="12" t="n"/>
      <c r="M184" s="12" t="n"/>
      <c r="N184" s="12" t="n"/>
      <c r="O184" s="12" t="n"/>
      <c r="P184" s="17" t="n"/>
      <c r="Q184" s="14">
        <f>IF(P184="","",TODAY()-P184)</f>
        <v/>
      </c>
      <c r="R184" s="12" t="n"/>
      <c r="S184" s="17" t="n"/>
      <c r="T184" s="12" t="n"/>
      <c r="U184" s="12" t="n"/>
      <c r="V184" s="12" t="n"/>
      <c r="W184" s="15" t="n"/>
      <c r="X184" s="12" t="n"/>
      <c r="Y184" s="12" t="n"/>
    </row>
    <row r="185">
      <c r="A185" s="11">
        <f>IF(B185="","",ROW()-7)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7" t="n"/>
      <c r="J185" s="17" t="n"/>
      <c r="K185" s="12" t="n"/>
      <c r="L185" s="12" t="n"/>
      <c r="M185" s="12" t="n"/>
      <c r="N185" s="12" t="n"/>
      <c r="O185" s="12" t="n"/>
      <c r="P185" s="17" t="n"/>
      <c r="Q185" s="14">
        <f>IF(P185="","",TODAY()-P185)</f>
        <v/>
      </c>
      <c r="R185" s="12" t="n"/>
      <c r="S185" s="17" t="n"/>
      <c r="T185" s="12" t="n"/>
      <c r="U185" s="12" t="n"/>
      <c r="V185" s="12" t="n"/>
      <c r="W185" s="15" t="n"/>
      <c r="X185" s="12" t="n"/>
      <c r="Y185" s="12" t="n"/>
    </row>
    <row r="186">
      <c r="A186" s="11">
        <f>IF(B186="","",ROW()-7)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7" t="n"/>
      <c r="J186" s="17" t="n"/>
      <c r="K186" s="12" t="n"/>
      <c r="L186" s="12" t="n"/>
      <c r="M186" s="12" t="n"/>
      <c r="N186" s="12" t="n"/>
      <c r="O186" s="12" t="n"/>
      <c r="P186" s="17" t="n"/>
      <c r="Q186" s="14">
        <f>IF(P186="","",TODAY()-P186)</f>
        <v/>
      </c>
      <c r="R186" s="12" t="n"/>
      <c r="S186" s="17" t="n"/>
      <c r="T186" s="12" t="n"/>
      <c r="U186" s="12" t="n"/>
      <c r="V186" s="12" t="n"/>
      <c r="W186" s="15" t="n"/>
      <c r="X186" s="12" t="n"/>
      <c r="Y186" s="12" t="n"/>
    </row>
    <row r="187">
      <c r="A187" s="11">
        <f>IF(B187="","",ROW()-7)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7" t="n"/>
      <c r="J187" s="17" t="n"/>
      <c r="K187" s="12" t="n"/>
      <c r="L187" s="12" t="n"/>
      <c r="M187" s="12" t="n"/>
      <c r="N187" s="12" t="n"/>
      <c r="O187" s="12" t="n"/>
      <c r="P187" s="17" t="n"/>
      <c r="Q187" s="14">
        <f>IF(P187="","",TODAY()-P187)</f>
        <v/>
      </c>
      <c r="R187" s="12" t="n"/>
      <c r="S187" s="17" t="n"/>
      <c r="T187" s="12" t="n"/>
      <c r="U187" s="12" t="n"/>
      <c r="V187" s="12" t="n"/>
      <c r="W187" s="15" t="n"/>
      <c r="X187" s="12" t="n"/>
      <c r="Y187" s="12" t="n"/>
    </row>
    <row r="188">
      <c r="A188" s="11">
        <f>IF(B188="","",ROW()-7)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7" t="n"/>
      <c r="J188" s="17" t="n"/>
      <c r="K188" s="12" t="n"/>
      <c r="L188" s="12" t="n"/>
      <c r="M188" s="12" t="n"/>
      <c r="N188" s="12" t="n"/>
      <c r="O188" s="12" t="n"/>
      <c r="P188" s="17" t="n"/>
      <c r="Q188" s="14">
        <f>IF(P188="","",TODAY()-P188)</f>
        <v/>
      </c>
      <c r="R188" s="12" t="n"/>
      <c r="S188" s="17" t="n"/>
      <c r="T188" s="12" t="n"/>
      <c r="U188" s="12" t="n"/>
      <c r="V188" s="12" t="n"/>
      <c r="W188" s="15" t="n"/>
      <c r="X188" s="12" t="n"/>
      <c r="Y188" s="12" t="n"/>
    </row>
    <row r="189">
      <c r="A189" s="11">
        <f>IF(B189="","",ROW()-7)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7" t="n"/>
      <c r="J189" s="17" t="n"/>
      <c r="K189" s="12" t="n"/>
      <c r="L189" s="12" t="n"/>
      <c r="M189" s="12" t="n"/>
      <c r="N189" s="12" t="n"/>
      <c r="O189" s="12" t="n"/>
      <c r="P189" s="17" t="n"/>
      <c r="Q189" s="14">
        <f>IF(P189="","",TODAY()-P189)</f>
        <v/>
      </c>
      <c r="R189" s="12" t="n"/>
      <c r="S189" s="17" t="n"/>
      <c r="T189" s="12" t="n"/>
      <c r="U189" s="12" t="n"/>
      <c r="V189" s="12" t="n"/>
      <c r="W189" s="15" t="n"/>
      <c r="X189" s="12" t="n"/>
      <c r="Y189" s="12" t="n"/>
    </row>
    <row r="190">
      <c r="A190" s="11">
        <f>IF(B190="","",ROW()-7)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7" t="n"/>
      <c r="J190" s="17" t="n"/>
      <c r="K190" s="12" t="n"/>
      <c r="L190" s="12" t="n"/>
      <c r="M190" s="12" t="n"/>
      <c r="N190" s="12" t="n"/>
      <c r="O190" s="12" t="n"/>
      <c r="P190" s="17" t="n"/>
      <c r="Q190" s="14">
        <f>IF(P190="","",TODAY()-P190)</f>
        <v/>
      </c>
      <c r="R190" s="12" t="n"/>
      <c r="S190" s="17" t="n"/>
      <c r="T190" s="12" t="n"/>
      <c r="U190" s="12" t="n"/>
      <c r="V190" s="12" t="n"/>
      <c r="W190" s="15" t="n"/>
      <c r="X190" s="12" t="n"/>
      <c r="Y190" s="12" t="n"/>
    </row>
    <row r="191">
      <c r="A191" s="11">
        <f>IF(B191="","",ROW()-7)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7" t="n"/>
      <c r="J191" s="17" t="n"/>
      <c r="K191" s="12" t="n"/>
      <c r="L191" s="12" t="n"/>
      <c r="M191" s="12" t="n"/>
      <c r="N191" s="12" t="n"/>
      <c r="O191" s="12" t="n"/>
      <c r="P191" s="17" t="n"/>
      <c r="Q191" s="14">
        <f>IF(P191="","",TODAY()-P191)</f>
        <v/>
      </c>
      <c r="R191" s="12" t="n"/>
      <c r="S191" s="17" t="n"/>
      <c r="T191" s="12" t="n"/>
      <c r="U191" s="12" t="n"/>
      <c r="V191" s="12" t="n"/>
      <c r="W191" s="15" t="n"/>
      <c r="X191" s="12" t="n"/>
      <c r="Y191" s="12" t="n"/>
    </row>
    <row r="192">
      <c r="A192" s="11">
        <f>IF(B192="","",ROW()-7)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7" t="n"/>
      <c r="J192" s="17" t="n"/>
      <c r="K192" s="12" t="n"/>
      <c r="L192" s="12" t="n"/>
      <c r="M192" s="12" t="n"/>
      <c r="N192" s="12" t="n"/>
      <c r="O192" s="12" t="n"/>
      <c r="P192" s="17" t="n"/>
      <c r="Q192" s="14">
        <f>IF(P192="","",TODAY()-P192)</f>
        <v/>
      </c>
      <c r="R192" s="12" t="n"/>
      <c r="S192" s="17" t="n"/>
      <c r="T192" s="12" t="n"/>
      <c r="U192" s="12" t="n"/>
      <c r="V192" s="12" t="n"/>
      <c r="W192" s="15" t="n"/>
      <c r="X192" s="12" t="n"/>
      <c r="Y192" s="12" t="n"/>
    </row>
    <row r="193">
      <c r="A193" s="11">
        <f>IF(B193="","",ROW()-7)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7" t="n"/>
      <c r="J193" s="17" t="n"/>
      <c r="K193" s="12" t="n"/>
      <c r="L193" s="12" t="n"/>
      <c r="M193" s="12" t="n"/>
      <c r="N193" s="12" t="n"/>
      <c r="O193" s="12" t="n"/>
      <c r="P193" s="17" t="n"/>
      <c r="Q193" s="14">
        <f>IF(P193="","",TODAY()-P193)</f>
        <v/>
      </c>
      <c r="R193" s="12" t="n"/>
      <c r="S193" s="17" t="n"/>
      <c r="T193" s="12" t="n"/>
      <c r="U193" s="12" t="n"/>
      <c r="V193" s="12" t="n"/>
      <c r="W193" s="15" t="n"/>
      <c r="X193" s="12" t="n"/>
      <c r="Y193" s="12" t="n"/>
    </row>
    <row r="194">
      <c r="A194" s="11">
        <f>IF(B194="","",ROW()-7)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7" t="n"/>
      <c r="J194" s="17" t="n"/>
      <c r="K194" s="12" t="n"/>
      <c r="L194" s="12" t="n"/>
      <c r="M194" s="12" t="n"/>
      <c r="N194" s="12" t="n"/>
      <c r="O194" s="12" t="n"/>
      <c r="P194" s="17" t="n"/>
      <c r="Q194" s="14">
        <f>IF(P194="","",TODAY()-P194)</f>
        <v/>
      </c>
      <c r="R194" s="12" t="n"/>
      <c r="S194" s="17" t="n"/>
      <c r="T194" s="12" t="n"/>
      <c r="U194" s="12" t="n"/>
      <c r="V194" s="12" t="n"/>
      <c r="W194" s="15" t="n"/>
      <c r="X194" s="12" t="n"/>
      <c r="Y194" s="12" t="n"/>
    </row>
    <row r="195">
      <c r="A195" s="11">
        <f>IF(B195="","",ROW()-7)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7" t="n"/>
      <c r="J195" s="17" t="n"/>
      <c r="K195" s="12" t="n"/>
      <c r="L195" s="12" t="n"/>
      <c r="M195" s="12" t="n"/>
      <c r="N195" s="12" t="n"/>
      <c r="O195" s="12" t="n"/>
      <c r="P195" s="17" t="n"/>
      <c r="Q195" s="14">
        <f>IF(P195="","",TODAY()-P195)</f>
        <v/>
      </c>
      <c r="R195" s="12" t="n"/>
      <c r="S195" s="17" t="n"/>
      <c r="T195" s="12" t="n"/>
      <c r="U195" s="12" t="n"/>
      <c r="V195" s="12" t="n"/>
      <c r="W195" s="15" t="n"/>
      <c r="X195" s="12" t="n"/>
      <c r="Y195" s="12" t="n"/>
    </row>
    <row r="196">
      <c r="A196" s="11">
        <f>IF(B196="","",ROW()-7)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7" t="n"/>
      <c r="J196" s="17" t="n"/>
      <c r="K196" s="12" t="n"/>
      <c r="L196" s="12" t="n"/>
      <c r="M196" s="12" t="n"/>
      <c r="N196" s="12" t="n"/>
      <c r="O196" s="12" t="n"/>
      <c r="P196" s="17" t="n"/>
      <c r="Q196" s="14">
        <f>IF(P196="","",TODAY()-P196)</f>
        <v/>
      </c>
      <c r="R196" s="12" t="n"/>
      <c r="S196" s="17" t="n"/>
      <c r="T196" s="12" t="n"/>
      <c r="U196" s="12" t="n"/>
      <c r="V196" s="12" t="n"/>
      <c r="W196" s="15" t="n"/>
      <c r="X196" s="12" t="n"/>
      <c r="Y196" s="12" t="n"/>
    </row>
    <row r="197">
      <c r="A197" s="11">
        <f>IF(B197="","",ROW()-7)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7" t="n"/>
      <c r="J197" s="17" t="n"/>
      <c r="K197" s="12" t="n"/>
      <c r="L197" s="12" t="n"/>
      <c r="M197" s="12" t="n"/>
      <c r="N197" s="12" t="n"/>
      <c r="O197" s="12" t="n"/>
      <c r="P197" s="17" t="n"/>
      <c r="Q197" s="14">
        <f>IF(P197="","",TODAY()-P197)</f>
        <v/>
      </c>
      <c r="R197" s="12" t="n"/>
      <c r="S197" s="17" t="n"/>
      <c r="T197" s="12" t="n"/>
      <c r="U197" s="12" t="n"/>
      <c r="V197" s="12" t="n"/>
      <c r="W197" s="15" t="n"/>
      <c r="X197" s="12" t="n"/>
      <c r="Y197" s="12" t="n"/>
    </row>
    <row r="198">
      <c r="A198" s="11">
        <f>IF(B198="","",ROW()-7)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7" t="n"/>
      <c r="J198" s="17" t="n"/>
      <c r="K198" s="12" t="n"/>
      <c r="L198" s="12" t="n"/>
      <c r="M198" s="12" t="n"/>
      <c r="N198" s="12" t="n"/>
      <c r="O198" s="12" t="n"/>
      <c r="P198" s="17" t="n"/>
      <c r="Q198" s="14">
        <f>IF(P198="","",TODAY()-P198)</f>
        <v/>
      </c>
      <c r="R198" s="12" t="n"/>
      <c r="S198" s="17" t="n"/>
      <c r="T198" s="12" t="n"/>
      <c r="U198" s="12" t="n"/>
      <c r="V198" s="12" t="n"/>
      <c r="W198" s="15" t="n"/>
      <c r="X198" s="12" t="n"/>
      <c r="Y198" s="12" t="n"/>
    </row>
    <row r="199">
      <c r="A199" s="11">
        <f>IF(B199="","",ROW()-7)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7" t="n"/>
      <c r="J199" s="17" t="n"/>
      <c r="K199" s="12" t="n"/>
      <c r="L199" s="12" t="n"/>
      <c r="M199" s="12" t="n"/>
      <c r="N199" s="12" t="n"/>
      <c r="O199" s="12" t="n"/>
      <c r="P199" s="17" t="n"/>
      <c r="Q199" s="14">
        <f>IF(P199="","",TODAY()-P199)</f>
        <v/>
      </c>
      <c r="R199" s="12" t="n"/>
      <c r="S199" s="17" t="n"/>
      <c r="T199" s="12" t="n"/>
      <c r="U199" s="12" t="n"/>
      <c r="V199" s="12" t="n"/>
      <c r="W199" s="15" t="n"/>
      <c r="X199" s="12" t="n"/>
      <c r="Y199" s="12" t="n"/>
    </row>
    <row r="200">
      <c r="A200" s="11">
        <f>IF(B200="","",ROW()-7)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7" t="n"/>
      <c r="J200" s="17" t="n"/>
      <c r="K200" s="12" t="n"/>
      <c r="L200" s="12" t="n"/>
      <c r="M200" s="12" t="n"/>
      <c r="N200" s="12" t="n"/>
      <c r="O200" s="12" t="n"/>
      <c r="P200" s="17" t="n"/>
      <c r="Q200" s="14">
        <f>IF(P200="","",TODAY()-P200)</f>
        <v/>
      </c>
      <c r="R200" s="12" t="n"/>
      <c r="S200" s="17" t="n"/>
      <c r="T200" s="12" t="n"/>
      <c r="U200" s="12" t="n"/>
      <c r="V200" s="12" t="n"/>
      <c r="W200" s="15" t="n"/>
      <c r="X200" s="12" t="n"/>
      <c r="Y200" s="12" t="n"/>
    </row>
    <row r="201">
      <c r="A201" s="11">
        <f>IF(B201="","",ROW()-7)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7" t="n"/>
      <c r="J201" s="17" t="n"/>
      <c r="K201" s="12" t="n"/>
      <c r="L201" s="12" t="n"/>
      <c r="M201" s="12" t="n"/>
      <c r="N201" s="12" t="n"/>
      <c r="O201" s="12" t="n"/>
      <c r="P201" s="17" t="n"/>
      <c r="Q201" s="14">
        <f>IF(P201="","",TODAY()-P201)</f>
        <v/>
      </c>
      <c r="R201" s="12" t="n"/>
      <c r="S201" s="17" t="n"/>
      <c r="T201" s="12" t="n"/>
      <c r="U201" s="12" t="n"/>
      <c r="V201" s="12" t="n"/>
      <c r="W201" s="15" t="n"/>
      <c r="X201" s="12" t="n"/>
      <c r="Y201" s="12" t="n"/>
    </row>
    <row r="202">
      <c r="A202" s="11">
        <f>IF(B202="","",ROW()-7)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7" t="n"/>
      <c r="J202" s="17" t="n"/>
      <c r="K202" s="12" t="n"/>
      <c r="L202" s="12" t="n"/>
      <c r="M202" s="12" t="n"/>
      <c r="N202" s="12" t="n"/>
      <c r="O202" s="12" t="n"/>
      <c r="P202" s="17" t="n"/>
      <c r="Q202" s="14">
        <f>IF(P202="","",TODAY()-P202)</f>
        <v/>
      </c>
      <c r="R202" s="12" t="n"/>
      <c r="S202" s="17" t="n"/>
      <c r="T202" s="12" t="n"/>
      <c r="U202" s="12" t="n"/>
      <c r="V202" s="12" t="n"/>
      <c r="W202" s="15" t="n"/>
      <c r="X202" s="12" t="n"/>
      <c r="Y202" s="12" t="n"/>
    </row>
    <row r="203">
      <c r="A203" s="11">
        <f>IF(B203="","",ROW()-7)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7" t="n"/>
      <c r="J203" s="17" t="n"/>
      <c r="K203" s="12" t="n"/>
      <c r="L203" s="12" t="n"/>
      <c r="M203" s="12" t="n"/>
      <c r="N203" s="12" t="n"/>
      <c r="O203" s="12" t="n"/>
      <c r="P203" s="17" t="n"/>
      <c r="Q203" s="14">
        <f>IF(P203="","",TODAY()-P203)</f>
        <v/>
      </c>
      <c r="R203" s="12" t="n"/>
      <c r="S203" s="17" t="n"/>
      <c r="T203" s="12" t="n"/>
      <c r="U203" s="12" t="n"/>
      <c r="V203" s="12" t="n"/>
      <c r="W203" s="15" t="n"/>
      <c r="X203" s="12" t="n"/>
      <c r="Y203" s="12" t="n"/>
    </row>
    <row r="204">
      <c r="A204" s="11">
        <f>IF(B204="","",ROW()-7)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7" t="n"/>
      <c r="J204" s="17" t="n"/>
      <c r="K204" s="12" t="n"/>
      <c r="L204" s="12" t="n"/>
      <c r="M204" s="12" t="n"/>
      <c r="N204" s="12" t="n"/>
      <c r="O204" s="12" t="n"/>
      <c r="P204" s="17" t="n"/>
      <c r="Q204" s="14">
        <f>IF(P204="","",TODAY()-P204)</f>
        <v/>
      </c>
      <c r="R204" s="12" t="n"/>
      <c r="S204" s="17" t="n"/>
      <c r="T204" s="12" t="n"/>
      <c r="U204" s="12" t="n"/>
      <c r="V204" s="12" t="n"/>
      <c r="W204" s="15" t="n"/>
      <c r="X204" s="12" t="n"/>
      <c r="Y204" s="12" t="n"/>
    </row>
    <row r="205">
      <c r="A205" s="11">
        <f>IF(B205="","",ROW()-7)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7" t="n"/>
      <c r="J205" s="17" t="n"/>
      <c r="K205" s="12" t="n"/>
      <c r="L205" s="12" t="n"/>
      <c r="M205" s="12" t="n"/>
      <c r="N205" s="12" t="n"/>
      <c r="O205" s="12" t="n"/>
      <c r="P205" s="17" t="n"/>
      <c r="Q205" s="14">
        <f>IF(P205="","",TODAY()-P205)</f>
        <v/>
      </c>
      <c r="R205" s="12" t="n"/>
      <c r="S205" s="17" t="n"/>
      <c r="T205" s="12" t="n"/>
      <c r="U205" s="12" t="n"/>
      <c r="V205" s="12" t="n"/>
      <c r="W205" s="15" t="n"/>
      <c r="X205" s="12" t="n"/>
      <c r="Y205" s="12" t="n"/>
    </row>
    <row r="206">
      <c r="A206" s="11">
        <f>IF(B206="","",ROW()-7)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7" t="n"/>
      <c r="J206" s="17" t="n"/>
      <c r="K206" s="12" t="n"/>
      <c r="L206" s="12" t="n"/>
      <c r="M206" s="12" t="n"/>
      <c r="N206" s="12" t="n"/>
      <c r="O206" s="12" t="n"/>
      <c r="P206" s="17" t="n"/>
      <c r="Q206" s="14">
        <f>IF(P206="","",TODAY()-P206)</f>
        <v/>
      </c>
      <c r="R206" s="12" t="n"/>
      <c r="S206" s="17" t="n"/>
      <c r="T206" s="12" t="n"/>
      <c r="U206" s="12" t="n"/>
      <c r="V206" s="12" t="n"/>
      <c r="W206" s="15" t="n"/>
      <c r="X206" s="12" t="n"/>
      <c r="Y206" s="12" t="n"/>
    </row>
    <row r="207">
      <c r="A207" s="11">
        <f>IF(B207="","",ROW()-7)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7" t="n"/>
      <c r="J207" s="17" t="n"/>
      <c r="K207" s="12" t="n"/>
      <c r="L207" s="12" t="n"/>
      <c r="M207" s="12" t="n"/>
      <c r="N207" s="12" t="n"/>
      <c r="O207" s="12" t="n"/>
      <c r="P207" s="17" t="n"/>
      <c r="Q207" s="14">
        <f>IF(P207="","",TODAY()-P207)</f>
        <v/>
      </c>
      <c r="R207" s="12" t="n"/>
      <c r="S207" s="17" t="n"/>
      <c r="T207" s="12" t="n"/>
      <c r="U207" s="12" t="n"/>
      <c r="V207" s="12" t="n"/>
      <c r="W207" s="15" t="n"/>
      <c r="X207" s="12" t="n"/>
      <c r="Y207" s="12" t="n"/>
    </row>
    <row r="208">
      <c r="A208" s="11">
        <f>IF(B208="","",ROW()-7)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7" t="n"/>
      <c r="J208" s="17" t="n"/>
      <c r="K208" s="12" t="n"/>
      <c r="L208" s="12" t="n"/>
      <c r="M208" s="12" t="n"/>
      <c r="N208" s="12" t="n"/>
      <c r="O208" s="12" t="n"/>
      <c r="P208" s="17" t="n"/>
      <c r="Q208" s="14">
        <f>IF(P208="","",TODAY()-P208)</f>
        <v/>
      </c>
      <c r="R208" s="12" t="n"/>
      <c r="S208" s="17" t="n"/>
      <c r="T208" s="12" t="n"/>
      <c r="U208" s="12" t="n"/>
      <c r="V208" s="12" t="n"/>
      <c r="W208" s="15" t="n"/>
      <c r="X208" s="12" t="n"/>
      <c r="Y208" s="12" t="n"/>
    </row>
    <row r="209">
      <c r="A209" s="11">
        <f>IF(B209="","",ROW()-7)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7" t="n"/>
      <c r="J209" s="17" t="n"/>
      <c r="K209" s="12" t="n"/>
      <c r="L209" s="12" t="n"/>
      <c r="M209" s="12" t="n"/>
      <c r="N209" s="12" t="n"/>
      <c r="O209" s="12" t="n"/>
      <c r="P209" s="17" t="n"/>
      <c r="Q209" s="14">
        <f>IF(P209="","",TODAY()-P209)</f>
        <v/>
      </c>
      <c r="R209" s="12" t="n"/>
      <c r="S209" s="17" t="n"/>
      <c r="T209" s="12" t="n"/>
      <c r="U209" s="12" t="n"/>
      <c r="V209" s="12" t="n"/>
      <c r="W209" s="15" t="n"/>
      <c r="X209" s="12" t="n"/>
      <c r="Y209" s="12" t="n"/>
    </row>
    <row r="210">
      <c r="A210" s="11">
        <f>IF(B210="","",ROW()-7)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7" t="n"/>
      <c r="J210" s="17" t="n"/>
      <c r="K210" s="12" t="n"/>
      <c r="L210" s="12" t="n"/>
      <c r="M210" s="12" t="n"/>
      <c r="N210" s="12" t="n"/>
      <c r="O210" s="12" t="n"/>
      <c r="P210" s="17" t="n"/>
      <c r="Q210" s="14">
        <f>IF(P210="","",TODAY()-P210)</f>
        <v/>
      </c>
      <c r="R210" s="12" t="n"/>
      <c r="S210" s="17" t="n"/>
      <c r="T210" s="12" t="n"/>
      <c r="U210" s="12" t="n"/>
      <c r="V210" s="12" t="n"/>
      <c r="W210" s="15" t="n"/>
      <c r="X210" s="12" t="n"/>
      <c r="Y210" s="12" t="n"/>
    </row>
    <row r="211">
      <c r="A211" s="11">
        <f>IF(B211="","",ROW()-7)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7" t="n"/>
      <c r="J211" s="17" t="n"/>
      <c r="K211" s="12" t="n"/>
      <c r="L211" s="12" t="n"/>
      <c r="M211" s="12" t="n"/>
      <c r="N211" s="12" t="n"/>
      <c r="O211" s="12" t="n"/>
      <c r="P211" s="17" t="n"/>
      <c r="Q211" s="14">
        <f>IF(P211="","",TODAY()-P211)</f>
        <v/>
      </c>
      <c r="R211" s="12" t="n"/>
      <c r="S211" s="17" t="n"/>
      <c r="T211" s="12" t="n"/>
      <c r="U211" s="12" t="n"/>
      <c r="V211" s="12" t="n"/>
      <c r="W211" s="15" t="n"/>
      <c r="X211" s="12" t="n"/>
      <c r="Y211" s="12" t="n"/>
    </row>
    <row r="212">
      <c r="A212" s="11">
        <f>IF(B212="","",ROW()-7)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7" t="n"/>
      <c r="J212" s="17" t="n"/>
      <c r="K212" s="12" t="n"/>
      <c r="L212" s="12" t="n"/>
      <c r="M212" s="12" t="n"/>
      <c r="N212" s="12" t="n"/>
      <c r="O212" s="12" t="n"/>
      <c r="P212" s="17" t="n"/>
      <c r="Q212" s="14">
        <f>IF(P212="","",TODAY()-P212)</f>
        <v/>
      </c>
      <c r="R212" s="12" t="n"/>
      <c r="S212" s="17" t="n"/>
      <c r="T212" s="12" t="n"/>
      <c r="U212" s="12" t="n"/>
      <c r="V212" s="12" t="n"/>
      <c r="W212" s="15" t="n"/>
      <c r="X212" s="12" t="n"/>
      <c r="Y212" s="12" t="n"/>
    </row>
    <row r="213">
      <c r="A213" s="11">
        <f>IF(B213="","",ROW()-7)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7" t="n"/>
      <c r="J213" s="17" t="n"/>
      <c r="K213" s="12" t="n"/>
      <c r="L213" s="12" t="n"/>
      <c r="M213" s="12" t="n"/>
      <c r="N213" s="12" t="n"/>
      <c r="O213" s="12" t="n"/>
      <c r="P213" s="17" t="n"/>
      <c r="Q213" s="14">
        <f>IF(P213="","",TODAY()-P213)</f>
        <v/>
      </c>
      <c r="R213" s="12" t="n"/>
      <c r="S213" s="17" t="n"/>
      <c r="T213" s="12" t="n"/>
      <c r="U213" s="12" t="n"/>
      <c r="V213" s="12" t="n"/>
      <c r="W213" s="15" t="n"/>
      <c r="X213" s="12" t="n"/>
      <c r="Y213" s="12" t="n"/>
    </row>
    <row r="214">
      <c r="A214" s="11">
        <f>IF(B214="","",ROW()-7)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7" t="n"/>
      <c r="J214" s="17" t="n"/>
      <c r="K214" s="12" t="n"/>
      <c r="L214" s="12" t="n"/>
      <c r="M214" s="12" t="n"/>
      <c r="N214" s="12" t="n"/>
      <c r="O214" s="12" t="n"/>
      <c r="P214" s="17" t="n"/>
      <c r="Q214" s="14">
        <f>IF(P214="","",TODAY()-P214)</f>
        <v/>
      </c>
      <c r="R214" s="12" t="n"/>
      <c r="S214" s="17" t="n"/>
      <c r="T214" s="12" t="n"/>
      <c r="U214" s="12" t="n"/>
      <c r="V214" s="12" t="n"/>
      <c r="W214" s="15" t="n"/>
      <c r="X214" s="12" t="n"/>
      <c r="Y214" s="12" t="n"/>
    </row>
    <row r="215">
      <c r="A215" s="11">
        <f>IF(B215="","",ROW()-7)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7" t="n"/>
      <c r="J215" s="17" t="n"/>
      <c r="K215" s="12" t="n"/>
      <c r="L215" s="12" t="n"/>
      <c r="M215" s="12" t="n"/>
      <c r="N215" s="12" t="n"/>
      <c r="O215" s="12" t="n"/>
      <c r="P215" s="17" t="n"/>
      <c r="Q215" s="14">
        <f>IF(P215="","",TODAY()-P215)</f>
        <v/>
      </c>
      <c r="R215" s="12" t="n"/>
      <c r="S215" s="17" t="n"/>
      <c r="T215" s="12" t="n"/>
      <c r="U215" s="12" t="n"/>
      <c r="V215" s="12" t="n"/>
      <c r="W215" s="15" t="n"/>
      <c r="X215" s="12" t="n"/>
      <c r="Y215" s="12" t="n"/>
    </row>
    <row r="216">
      <c r="A216" s="11">
        <f>IF(B216="","",ROW()-7)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7" t="n"/>
      <c r="J216" s="17" t="n"/>
      <c r="K216" s="12" t="n"/>
      <c r="L216" s="12" t="n"/>
      <c r="M216" s="12" t="n"/>
      <c r="N216" s="12" t="n"/>
      <c r="O216" s="12" t="n"/>
      <c r="P216" s="17" t="n"/>
      <c r="Q216" s="14">
        <f>IF(P216="","",TODAY()-P216)</f>
        <v/>
      </c>
      <c r="R216" s="12" t="n"/>
      <c r="S216" s="17" t="n"/>
      <c r="T216" s="12" t="n"/>
      <c r="U216" s="12" t="n"/>
      <c r="V216" s="12" t="n"/>
      <c r="W216" s="15" t="n"/>
      <c r="X216" s="12" t="n"/>
      <c r="Y216" s="12" t="n"/>
    </row>
    <row r="217">
      <c r="A217" s="11">
        <f>IF(B217="","",ROW()-7)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7" t="n"/>
      <c r="J217" s="17" t="n"/>
      <c r="K217" s="12" t="n"/>
      <c r="L217" s="12" t="n"/>
      <c r="M217" s="12" t="n"/>
      <c r="N217" s="12" t="n"/>
      <c r="O217" s="12" t="n"/>
      <c r="P217" s="17" t="n"/>
      <c r="Q217" s="14">
        <f>IF(P217="","",TODAY()-P217)</f>
        <v/>
      </c>
      <c r="R217" s="12" t="n"/>
      <c r="S217" s="17" t="n"/>
      <c r="T217" s="12" t="n"/>
      <c r="U217" s="12" t="n"/>
      <c r="V217" s="12" t="n"/>
      <c r="W217" s="15" t="n"/>
      <c r="X217" s="12" t="n"/>
      <c r="Y217" s="12" t="n"/>
    </row>
    <row r="218">
      <c r="A218" s="11">
        <f>IF(B218="","",ROW()-7)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7" t="n"/>
      <c r="J218" s="17" t="n"/>
      <c r="K218" s="12" t="n"/>
      <c r="L218" s="12" t="n"/>
      <c r="M218" s="12" t="n"/>
      <c r="N218" s="12" t="n"/>
      <c r="O218" s="12" t="n"/>
      <c r="P218" s="17" t="n"/>
      <c r="Q218" s="14">
        <f>IF(P218="","",TODAY()-P218)</f>
        <v/>
      </c>
      <c r="R218" s="12" t="n"/>
      <c r="S218" s="17" t="n"/>
      <c r="T218" s="12" t="n"/>
      <c r="U218" s="12" t="n"/>
      <c r="V218" s="12" t="n"/>
      <c r="W218" s="15" t="n"/>
      <c r="X218" s="12" t="n"/>
      <c r="Y218" s="12" t="n"/>
    </row>
    <row r="219">
      <c r="A219" s="11">
        <f>IF(B219="","",ROW()-7)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7" t="n"/>
      <c r="J219" s="17" t="n"/>
      <c r="K219" s="12" t="n"/>
      <c r="L219" s="12" t="n"/>
      <c r="M219" s="12" t="n"/>
      <c r="N219" s="12" t="n"/>
      <c r="O219" s="12" t="n"/>
      <c r="P219" s="17" t="n"/>
      <c r="Q219" s="14">
        <f>IF(P219="","",TODAY()-P219)</f>
        <v/>
      </c>
      <c r="R219" s="12" t="n"/>
      <c r="S219" s="17" t="n"/>
      <c r="T219" s="12" t="n"/>
      <c r="U219" s="12" t="n"/>
      <c r="V219" s="12" t="n"/>
      <c r="W219" s="15" t="n"/>
      <c r="X219" s="12" t="n"/>
      <c r="Y219" s="12" t="n"/>
    </row>
    <row r="220">
      <c r="A220" s="11">
        <f>IF(B220="","",ROW()-7)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7" t="n"/>
      <c r="J220" s="17" t="n"/>
      <c r="K220" s="12" t="n"/>
      <c r="L220" s="12" t="n"/>
      <c r="M220" s="12" t="n"/>
      <c r="N220" s="12" t="n"/>
      <c r="O220" s="12" t="n"/>
      <c r="P220" s="17" t="n"/>
      <c r="Q220" s="14">
        <f>IF(P220="","",TODAY()-P220)</f>
        <v/>
      </c>
      <c r="R220" s="12" t="n"/>
      <c r="S220" s="17" t="n"/>
      <c r="T220" s="12" t="n"/>
      <c r="U220" s="12" t="n"/>
      <c r="V220" s="12" t="n"/>
      <c r="W220" s="15" t="n"/>
      <c r="X220" s="12" t="n"/>
      <c r="Y220" s="12" t="n"/>
    </row>
    <row r="221">
      <c r="A221" s="11">
        <f>IF(B221="","",ROW()-7)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7" t="n"/>
      <c r="J221" s="17" t="n"/>
      <c r="K221" s="12" t="n"/>
      <c r="L221" s="12" t="n"/>
      <c r="M221" s="12" t="n"/>
      <c r="N221" s="12" t="n"/>
      <c r="O221" s="12" t="n"/>
      <c r="P221" s="17" t="n"/>
      <c r="Q221" s="14">
        <f>IF(P221="","",TODAY()-P221)</f>
        <v/>
      </c>
      <c r="R221" s="12" t="n"/>
      <c r="S221" s="17" t="n"/>
      <c r="T221" s="12" t="n"/>
      <c r="U221" s="12" t="n"/>
      <c r="V221" s="12" t="n"/>
      <c r="W221" s="15" t="n"/>
      <c r="X221" s="12" t="n"/>
      <c r="Y221" s="12" t="n"/>
    </row>
    <row r="222">
      <c r="A222" s="11">
        <f>IF(B222="","",ROW()-7)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7" t="n"/>
      <c r="J222" s="17" t="n"/>
      <c r="K222" s="12" t="n"/>
      <c r="L222" s="12" t="n"/>
      <c r="M222" s="12" t="n"/>
      <c r="N222" s="12" t="n"/>
      <c r="O222" s="12" t="n"/>
      <c r="P222" s="17" t="n"/>
      <c r="Q222" s="14">
        <f>IF(P222="","",TODAY()-P222)</f>
        <v/>
      </c>
      <c r="R222" s="12" t="n"/>
      <c r="S222" s="17" t="n"/>
      <c r="T222" s="12" t="n"/>
      <c r="U222" s="12" t="n"/>
      <c r="V222" s="12" t="n"/>
      <c r="W222" s="15" t="n"/>
      <c r="X222" s="12" t="n"/>
      <c r="Y222" s="12" t="n"/>
    </row>
    <row r="223">
      <c r="A223" s="11">
        <f>IF(B223="","",ROW()-7)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7" t="n"/>
      <c r="J223" s="17" t="n"/>
      <c r="K223" s="12" t="n"/>
      <c r="L223" s="12" t="n"/>
      <c r="M223" s="12" t="n"/>
      <c r="N223" s="12" t="n"/>
      <c r="O223" s="12" t="n"/>
      <c r="P223" s="17" t="n"/>
      <c r="Q223" s="14">
        <f>IF(P223="","",TODAY()-P223)</f>
        <v/>
      </c>
      <c r="R223" s="12" t="n"/>
      <c r="S223" s="17" t="n"/>
      <c r="T223" s="12" t="n"/>
      <c r="U223" s="12" t="n"/>
      <c r="V223" s="12" t="n"/>
      <c r="W223" s="15" t="n"/>
      <c r="X223" s="12" t="n"/>
      <c r="Y223" s="12" t="n"/>
    </row>
    <row r="224">
      <c r="A224" s="11">
        <f>IF(B224="","",ROW()-7)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7" t="n"/>
      <c r="J224" s="17" t="n"/>
      <c r="K224" s="12" t="n"/>
      <c r="L224" s="12" t="n"/>
      <c r="M224" s="12" t="n"/>
      <c r="N224" s="12" t="n"/>
      <c r="O224" s="12" t="n"/>
      <c r="P224" s="17" t="n"/>
      <c r="Q224" s="14">
        <f>IF(P224="","",TODAY()-P224)</f>
        <v/>
      </c>
      <c r="R224" s="12" t="n"/>
      <c r="S224" s="17" t="n"/>
      <c r="T224" s="12" t="n"/>
      <c r="U224" s="12" t="n"/>
      <c r="V224" s="12" t="n"/>
      <c r="W224" s="15" t="n"/>
      <c r="X224" s="12" t="n"/>
      <c r="Y224" s="12" t="n"/>
    </row>
    <row r="225">
      <c r="A225" s="11">
        <f>IF(B225="","",ROW()-7)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7" t="n"/>
      <c r="J225" s="17" t="n"/>
      <c r="K225" s="12" t="n"/>
      <c r="L225" s="12" t="n"/>
      <c r="M225" s="12" t="n"/>
      <c r="N225" s="12" t="n"/>
      <c r="O225" s="12" t="n"/>
      <c r="P225" s="17" t="n"/>
      <c r="Q225" s="14">
        <f>IF(P225="","",TODAY()-P225)</f>
        <v/>
      </c>
      <c r="R225" s="12" t="n"/>
      <c r="S225" s="17" t="n"/>
      <c r="T225" s="12" t="n"/>
      <c r="U225" s="12" t="n"/>
      <c r="V225" s="12" t="n"/>
      <c r="W225" s="15" t="n"/>
      <c r="X225" s="12" t="n"/>
      <c r="Y225" s="12" t="n"/>
    </row>
    <row r="226">
      <c r="A226" s="11">
        <f>IF(B226="","",ROW()-7)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7" t="n"/>
      <c r="J226" s="17" t="n"/>
      <c r="K226" s="12" t="n"/>
      <c r="L226" s="12" t="n"/>
      <c r="M226" s="12" t="n"/>
      <c r="N226" s="12" t="n"/>
      <c r="O226" s="12" t="n"/>
      <c r="P226" s="17" t="n"/>
      <c r="Q226" s="14">
        <f>IF(P226="","",TODAY()-P226)</f>
        <v/>
      </c>
      <c r="R226" s="12" t="n"/>
      <c r="S226" s="17" t="n"/>
      <c r="T226" s="12" t="n"/>
      <c r="U226" s="12" t="n"/>
      <c r="V226" s="12" t="n"/>
      <c r="W226" s="15" t="n"/>
      <c r="X226" s="12" t="n"/>
      <c r="Y226" s="12" t="n"/>
    </row>
    <row r="227">
      <c r="A227" s="11">
        <f>IF(B227="","",ROW()-7)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7" t="n"/>
      <c r="J227" s="17" t="n"/>
      <c r="K227" s="12" t="n"/>
      <c r="L227" s="12" t="n"/>
      <c r="M227" s="12" t="n"/>
      <c r="N227" s="12" t="n"/>
      <c r="O227" s="12" t="n"/>
      <c r="P227" s="17" t="n"/>
      <c r="Q227" s="14">
        <f>IF(P227="","",TODAY()-P227)</f>
        <v/>
      </c>
      <c r="R227" s="12" t="n"/>
      <c r="S227" s="17" t="n"/>
      <c r="T227" s="12" t="n"/>
      <c r="U227" s="12" t="n"/>
      <c r="V227" s="12" t="n"/>
      <c r="W227" s="15" t="n"/>
      <c r="X227" s="12" t="n"/>
      <c r="Y227" s="12" t="n"/>
    </row>
    <row r="228">
      <c r="A228" s="11">
        <f>IF(B228="","",ROW()-7)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7" t="n"/>
      <c r="J228" s="17" t="n"/>
      <c r="K228" s="12" t="n"/>
      <c r="L228" s="12" t="n"/>
      <c r="M228" s="12" t="n"/>
      <c r="N228" s="12" t="n"/>
      <c r="O228" s="12" t="n"/>
      <c r="P228" s="17" t="n"/>
      <c r="Q228" s="14">
        <f>IF(P228="","",TODAY()-P228)</f>
        <v/>
      </c>
      <c r="R228" s="12" t="n"/>
      <c r="S228" s="17" t="n"/>
      <c r="T228" s="12" t="n"/>
      <c r="U228" s="12" t="n"/>
      <c r="V228" s="12" t="n"/>
      <c r="W228" s="15" t="n"/>
      <c r="X228" s="12" t="n"/>
      <c r="Y228" s="12" t="n"/>
    </row>
    <row r="229">
      <c r="A229" s="11">
        <f>IF(B229="","",ROW()-7)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7" t="n"/>
      <c r="J229" s="17" t="n"/>
      <c r="K229" s="12" t="n"/>
      <c r="L229" s="12" t="n"/>
      <c r="M229" s="12" t="n"/>
      <c r="N229" s="12" t="n"/>
      <c r="O229" s="12" t="n"/>
      <c r="P229" s="17" t="n"/>
      <c r="Q229" s="14">
        <f>IF(P229="","",TODAY()-P229)</f>
        <v/>
      </c>
      <c r="R229" s="12" t="n"/>
      <c r="S229" s="17" t="n"/>
      <c r="T229" s="12" t="n"/>
      <c r="U229" s="12" t="n"/>
      <c r="V229" s="12" t="n"/>
      <c r="W229" s="15" t="n"/>
      <c r="X229" s="12" t="n"/>
      <c r="Y229" s="12" t="n"/>
    </row>
    <row r="230">
      <c r="A230" s="11">
        <f>IF(B230="","",ROW()-7)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7" t="n"/>
      <c r="J230" s="17" t="n"/>
      <c r="K230" s="12" t="n"/>
      <c r="L230" s="12" t="n"/>
      <c r="M230" s="12" t="n"/>
      <c r="N230" s="12" t="n"/>
      <c r="O230" s="12" t="n"/>
      <c r="P230" s="17" t="n"/>
      <c r="Q230" s="14">
        <f>IF(P230="","",TODAY()-P230)</f>
        <v/>
      </c>
      <c r="R230" s="12" t="n"/>
      <c r="S230" s="17" t="n"/>
      <c r="T230" s="12" t="n"/>
      <c r="U230" s="12" t="n"/>
      <c r="V230" s="12" t="n"/>
      <c r="W230" s="15" t="n"/>
      <c r="X230" s="12" t="n"/>
      <c r="Y230" s="12" t="n"/>
    </row>
    <row r="231">
      <c r="A231" s="11">
        <f>IF(B231="","",ROW()-7)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7" t="n"/>
      <c r="J231" s="17" t="n"/>
      <c r="K231" s="12" t="n"/>
      <c r="L231" s="12" t="n"/>
      <c r="M231" s="12" t="n"/>
      <c r="N231" s="12" t="n"/>
      <c r="O231" s="12" t="n"/>
      <c r="P231" s="17" t="n"/>
      <c r="Q231" s="14">
        <f>IF(P231="","",TODAY()-P231)</f>
        <v/>
      </c>
      <c r="R231" s="12" t="n"/>
      <c r="S231" s="17" t="n"/>
      <c r="T231" s="12" t="n"/>
      <c r="U231" s="12" t="n"/>
      <c r="V231" s="12" t="n"/>
      <c r="W231" s="15" t="n"/>
      <c r="X231" s="12" t="n"/>
      <c r="Y231" s="12" t="n"/>
    </row>
    <row r="232">
      <c r="A232" s="11">
        <f>IF(B232="","",ROW()-7)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7" t="n"/>
      <c r="J232" s="17" t="n"/>
      <c r="K232" s="12" t="n"/>
      <c r="L232" s="12" t="n"/>
      <c r="M232" s="12" t="n"/>
      <c r="N232" s="12" t="n"/>
      <c r="O232" s="12" t="n"/>
      <c r="P232" s="17" t="n"/>
      <c r="Q232" s="14">
        <f>IF(P232="","",TODAY()-P232)</f>
        <v/>
      </c>
      <c r="R232" s="12" t="n"/>
      <c r="S232" s="17" t="n"/>
      <c r="T232" s="12" t="n"/>
      <c r="U232" s="12" t="n"/>
      <c r="V232" s="12" t="n"/>
      <c r="W232" s="15" t="n"/>
      <c r="X232" s="12" t="n"/>
      <c r="Y232" s="12" t="n"/>
    </row>
    <row r="233">
      <c r="A233" s="11">
        <f>IF(B233="","",ROW()-7)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7" t="n"/>
      <c r="J233" s="17" t="n"/>
      <c r="K233" s="12" t="n"/>
      <c r="L233" s="12" t="n"/>
      <c r="M233" s="12" t="n"/>
      <c r="N233" s="12" t="n"/>
      <c r="O233" s="12" t="n"/>
      <c r="P233" s="17" t="n"/>
      <c r="Q233" s="14">
        <f>IF(P233="","",TODAY()-P233)</f>
        <v/>
      </c>
      <c r="R233" s="12" t="n"/>
      <c r="S233" s="17" t="n"/>
      <c r="T233" s="12" t="n"/>
      <c r="U233" s="12" t="n"/>
      <c r="V233" s="12" t="n"/>
      <c r="W233" s="15" t="n"/>
      <c r="X233" s="12" t="n"/>
      <c r="Y233" s="12" t="n"/>
    </row>
    <row r="234">
      <c r="A234" s="11">
        <f>IF(B234="","",ROW()-7)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7" t="n"/>
      <c r="J234" s="17" t="n"/>
      <c r="K234" s="12" t="n"/>
      <c r="L234" s="12" t="n"/>
      <c r="M234" s="12" t="n"/>
      <c r="N234" s="12" t="n"/>
      <c r="O234" s="12" t="n"/>
      <c r="P234" s="17" t="n"/>
      <c r="Q234" s="14">
        <f>IF(P234="","",TODAY()-P234)</f>
        <v/>
      </c>
      <c r="R234" s="12" t="n"/>
      <c r="S234" s="17" t="n"/>
      <c r="T234" s="12" t="n"/>
      <c r="U234" s="12" t="n"/>
      <c r="V234" s="12" t="n"/>
      <c r="W234" s="15" t="n"/>
      <c r="X234" s="12" t="n"/>
      <c r="Y234" s="12" t="n"/>
    </row>
    <row r="235">
      <c r="A235" s="11">
        <f>IF(B235="","",ROW()-7)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7" t="n"/>
      <c r="J235" s="17" t="n"/>
      <c r="K235" s="12" t="n"/>
      <c r="L235" s="12" t="n"/>
      <c r="M235" s="12" t="n"/>
      <c r="N235" s="12" t="n"/>
      <c r="O235" s="12" t="n"/>
      <c r="P235" s="17" t="n"/>
      <c r="Q235" s="14">
        <f>IF(P235="","",TODAY()-P235)</f>
        <v/>
      </c>
      <c r="R235" s="12" t="n"/>
      <c r="S235" s="17" t="n"/>
      <c r="T235" s="12" t="n"/>
      <c r="U235" s="12" t="n"/>
      <c r="V235" s="12" t="n"/>
      <c r="W235" s="15" t="n"/>
      <c r="X235" s="12" t="n"/>
      <c r="Y235" s="12" t="n"/>
    </row>
    <row r="236">
      <c r="A236" s="11">
        <f>IF(B236="","",ROW()-7)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7" t="n"/>
      <c r="J236" s="17" t="n"/>
      <c r="K236" s="12" t="n"/>
      <c r="L236" s="12" t="n"/>
      <c r="M236" s="12" t="n"/>
      <c r="N236" s="12" t="n"/>
      <c r="O236" s="12" t="n"/>
      <c r="P236" s="17" t="n"/>
      <c r="Q236" s="14">
        <f>IF(P236="","",TODAY()-P236)</f>
        <v/>
      </c>
      <c r="R236" s="12" t="n"/>
      <c r="S236" s="17" t="n"/>
      <c r="T236" s="12" t="n"/>
      <c r="U236" s="12" t="n"/>
      <c r="V236" s="12" t="n"/>
      <c r="W236" s="15" t="n"/>
      <c r="X236" s="12" t="n"/>
      <c r="Y236" s="12" t="n"/>
    </row>
    <row r="237">
      <c r="A237" s="11">
        <f>IF(B237="","",ROW()-7)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7" t="n"/>
      <c r="J237" s="17" t="n"/>
      <c r="K237" s="12" t="n"/>
      <c r="L237" s="12" t="n"/>
      <c r="M237" s="12" t="n"/>
      <c r="N237" s="12" t="n"/>
      <c r="O237" s="12" t="n"/>
      <c r="P237" s="17" t="n"/>
      <c r="Q237" s="14">
        <f>IF(P237="","",TODAY()-P237)</f>
        <v/>
      </c>
      <c r="R237" s="12" t="n"/>
      <c r="S237" s="17" t="n"/>
      <c r="T237" s="12" t="n"/>
      <c r="U237" s="12" t="n"/>
      <c r="V237" s="12" t="n"/>
      <c r="W237" s="15" t="n"/>
      <c r="X237" s="12" t="n"/>
      <c r="Y237" s="12" t="n"/>
    </row>
    <row r="238">
      <c r="A238" s="11">
        <f>IF(B238="","",ROW()-7)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7" t="n"/>
      <c r="J238" s="17" t="n"/>
      <c r="K238" s="12" t="n"/>
      <c r="L238" s="12" t="n"/>
      <c r="M238" s="12" t="n"/>
      <c r="N238" s="12" t="n"/>
      <c r="O238" s="12" t="n"/>
      <c r="P238" s="17" t="n"/>
      <c r="Q238" s="14">
        <f>IF(P238="","",TODAY()-P238)</f>
        <v/>
      </c>
      <c r="R238" s="12" t="n"/>
      <c r="S238" s="17" t="n"/>
      <c r="T238" s="12" t="n"/>
      <c r="U238" s="12" t="n"/>
      <c r="V238" s="12" t="n"/>
      <c r="W238" s="15" t="n"/>
      <c r="X238" s="12" t="n"/>
      <c r="Y238" s="12" t="n"/>
    </row>
    <row r="239">
      <c r="A239" s="11">
        <f>IF(B239="","",ROW()-7)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7" t="n"/>
      <c r="J239" s="17" t="n"/>
      <c r="K239" s="12" t="n"/>
      <c r="L239" s="12" t="n"/>
      <c r="M239" s="12" t="n"/>
      <c r="N239" s="12" t="n"/>
      <c r="O239" s="12" t="n"/>
      <c r="P239" s="17" t="n"/>
      <c r="Q239" s="14">
        <f>IF(P239="","",TODAY()-P239)</f>
        <v/>
      </c>
      <c r="R239" s="12" t="n"/>
      <c r="S239" s="17" t="n"/>
      <c r="T239" s="12" t="n"/>
      <c r="U239" s="12" t="n"/>
      <c r="V239" s="12" t="n"/>
      <c r="W239" s="15" t="n"/>
      <c r="X239" s="12" t="n"/>
      <c r="Y239" s="12" t="n"/>
    </row>
    <row r="240">
      <c r="A240" s="11">
        <f>IF(B240="","",ROW()-7)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7" t="n"/>
      <c r="J240" s="17" t="n"/>
      <c r="K240" s="12" t="n"/>
      <c r="L240" s="12" t="n"/>
      <c r="M240" s="12" t="n"/>
      <c r="N240" s="12" t="n"/>
      <c r="O240" s="12" t="n"/>
      <c r="P240" s="17" t="n"/>
      <c r="Q240" s="14">
        <f>IF(P240="","",TODAY()-P240)</f>
        <v/>
      </c>
      <c r="R240" s="12" t="n"/>
      <c r="S240" s="17" t="n"/>
      <c r="T240" s="12" t="n"/>
      <c r="U240" s="12" t="n"/>
      <c r="V240" s="12" t="n"/>
      <c r="W240" s="15" t="n"/>
      <c r="X240" s="12" t="n"/>
      <c r="Y240" s="12" t="n"/>
    </row>
    <row r="241">
      <c r="A241" s="11">
        <f>IF(B241="","",ROW()-7)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7" t="n"/>
      <c r="J241" s="17" t="n"/>
      <c r="K241" s="12" t="n"/>
      <c r="L241" s="12" t="n"/>
      <c r="M241" s="12" t="n"/>
      <c r="N241" s="12" t="n"/>
      <c r="O241" s="12" t="n"/>
      <c r="P241" s="17" t="n"/>
      <c r="Q241" s="14">
        <f>IF(P241="","",TODAY()-P241)</f>
        <v/>
      </c>
      <c r="R241" s="12" t="n"/>
      <c r="S241" s="17" t="n"/>
      <c r="T241" s="12" t="n"/>
      <c r="U241" s="12" t="n"/>
      <c r="V241" s="12" t="n"/>
      <c r="W241" s="15" t="n"/>
      <c r="X241" s="12" t="n"/>
      <c r="Y241" s="12" t="n"/>
    </row>
    <row r="242">
      <c r="A242" s="11">
        <f>IF(B242="","",ROW()-7)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7" t="n"/>
      <c r="J242" s="17" t="n"/>
      <c r="K242" s="12" t="n"/>
      <c r="L242" s="12" t="n"/>
      <c r="M242" s="12" t="n"/>
      <c r="N242" s="12" t="n"/>
      <c r="O242" s="12" t="n"/>
      <c r="P242" s="17" t="n"/>
      <c r="Q242" s="14">
        <f>IF(P242="","",TODAY()-P242)</f>
        <v/>
      </c>
      <c r="R242" s="12" t="n"/>
      <c r="S242" s="17" t="n"/>
      <c r="T242" s="12" t="n"/>
      <c r="U242" s="12" t="n"/>
      <c r="V242" s="12" t="n"/>
      <c r="W242" s="15" t="n"/>
      <c r="X242" s="12" t="n"/>
      <c r="Y242" s="12" t="n"/>
    </row>
    <row r="243">
      <c r="A243" s="11">
        <f>IF(B243="","",ROW()-7)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7" t="n"/>
      <c r="J243" s="17" t="n"/>
      <c r="K243" s="12" t="n"/>
      <c r="L243" s="12" t="n"/>
      <c r="M243" s="12" t="n"/>
      <c r="N243" s="12" t="n"/>
      <c r="O243" s="12" t="n"/>
      <c r="P243" s="17" t="n"/>
      <c r="Q243" s="14">
        <f>IF(P243="","",TODAY()-P243)</f>
        <v/>
      </c>
      <c r="R243" s="12" t="n"/>
      <c r="S243" s="17" t="n"/>
      <c r="T243" s="12" t="n"/>
      <c r="U243" s="12" t="n"/>
      <c r="V243" s="12" t="n"/>
      <c r="W243" s="15" t="n"/>
      <c r="X243" s="12" t="n"/>
      <c r="Y243" s="12" t="n"/>
    </row>
    <row r="244">
      <c r="A244" s="11">
        <f>IF(B244="","",ROW()-7)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7" t="n"/>
      <c r="J244" s="17" t="n"/>
      <c r="K244" s="12" t="n"/>
      <c r="L244" s="12" t="n"/>
      <c r="M244" s="12" t="n"/>
      <c r="N244" s="12" t="n"/>
      <c r="O244" s="12" t="n"/>
      <c r="P244" s="17" t="n"/>
      <c r="Q244" s="14">
        <f>IF(P244="","",TODAY()-P244)</f>
        <v/>
      </c>
      <c r="R244" s="12" t="n"/>
      <c r="S244" s="17" t="n"/>
      <c r="T244" s="12" t="n"/>
      <c r="U244" s="12" t="n"/>
      <c r="V244" s="12" t="n"/>
      <c r="W244" s="15" t="n"/>
      <c r="X244" s="12" t="n"/>
      <c r="Y244" s="12" t="n"/>
    </row>
    <row r="245">
      <c r="A245" s="11">
        <f>IF(B245="","",ROW()-7)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7" t="n"/>
      <c r="J245" s="17" t="n"/>
      <c r="K245" s="12" t="n"/>
      <c r="L245" s="12" t="n"/>
      <c r="M245" s="12" t="n"/>
      <c r="N245" s="12" t="n"/>
      <c r="O245" s="12" t="n"/>
      <c r="P245" s="17" t="n"/>
      <c r="Q245" s="14">
        <f>IF(P245="","",TODAY()-P245)</f>
        <v/>
      </c>
      <c r="R245" s="12" t="n"/>
      <c r="S245" s="17" t="n"/>
      <c r="T245" s="12" t="n"/>
      <c r="U245" s="12" t="n"/>
      <c r="V245" s="12" t="n"/>
      <c r="W245" s="15" t="n"/>
      <c r="X245" s="12" t="n"/>
      <c r="Y245" s="12" t="n"/>
    </row>
    <row r="246">
      <c r="A246" s="11">
        <f>IF(B246="","",ROW()-7)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7" t="n"/>
      <c r="J246" s="17" t="n"/>
      <c r="K246" s="12" t="n"/>
      <c r="L246" s="12" t="n"/>
      <c r="M246" s="12" t="n"/>
      <c r="N246" s="12" t="n"/>
      <c r="O246" s="12" t="n"/>
      <c r="P246" s="17" t="n"/>
      <c r="Q246" s="14">
        <f>IF(P246="","",TODAY()-P246)</f>
        <v/>
      </c>
      <c r="R246" s="12" t="n"/>
      <c r="S246" s="17" t="n"/>
      <c r="T246" s="12" t="n"/>
      <c r="U246" s="12" t="n"/>
      <c r="V246" s="12" t="n"/>
      <c r="W246" s="15" t="n"/>
      <c r="X246" s="12" t="n"/>
      <c r="Y246" s="12" t="n"/>
    </row>
    <row r="247">
      <c r="A247" s="11">
        <f>IF(B247="","",ROW()-7)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7" t="n"/>
      <c r="J247" s="17" t="n"/>
      <c r="K247" s="12" t="n"/>
      <c r="L247" s="12" t="n"/>
      <c r="M247" s="12" t="n"/>
      <c r="N247" s="12" t="n"/>
      <c r="O247" s="12" t="n"/>
      <c r="P247" s="17" t="n"/>
      <c r="Q247" s="14">
        <f>IF(P247="","",TODAY()-P247)</f>
        <v/>
      </c>
      <c r="R247" s="12" t="n"/>
      <c r="S247" s="17" t="n"/>
      <c r="T247" s="12" t="n"/>
      <c r="U247" s="12" t="n"/>
      <c r="V247" s="12" t="n"/>
      <c r="W247" s="15" t="n"/>
      <c r="X247" s="12" t="n"/>
      <c r="Y247" s="12" t="n"/>
    </row>
    <row r="248">
      <c r="A248" s="11">
        <f>IF(B248="","",ROW()-7)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7" t="n"/>
      <c r="J248" s="17" t="n"/>
      <c r="K248" s="12" t="n"/>
      <c r="L248" s="12" t="n"/>
      <c r="M248" s="12" t="n"/>
      <c r="N248" s="12" t="n"/>
      <c r="O248" s="12" t="n"/>
      <c r="P248" s="17" t="n"/>
      <c r="Q248" s="14">
        <f>IF(P248="","",TODAY()-P248)</f>
        <v/>
      </c>
      <c r="R248" s="12" t="n"/>
      <c r="S248" s="17" t="n"/>
      <c r="T248" s="12" t="n"/>
      <c r="U248" s="12" t="n"/>
      <c r="V248" s="12" t="n"/>
      <c r="W248" s="15" t="n"/>
      <c r="X248" s="12" t="n"/>
      <c r="Y248" s="12" t="n"/>
    </row>
    <row r="249">
      <c r="A249" s="11">
        <f>IF(B249="","",ROW()-7)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7" t="n"/>
      <c r="J249" s="17" t="n"/>
      <c r="K249" s="12" t="n"/>
      <c r="L249" s="12" t="n"/>
      <c r="M249" s="12" t="n"/>
      <c r="N249" s="12" t="n"/>
      <c r="O249" s="12" t="n"/>
      <c r="P249" s="17" t="n"/>
      <c r="Q249" s="14">
        <f>IF(P249="","",TODAY()-P249)</f>
        <v/>
      </c>
      <c r="R249" s="12" t="n"/>
      <c r="S249" s="17" t="n"/>
      <c r="T249" s="12" t="n"/>
      <c r="U249" s="12" t="n"/>
      <c r="V249" s="12" t="n"/>
      <c r="W249" s="15" t="n"/>
      <c r="X249" s="12" t="n"/>
      <c r="Y249" s="12" t="n"/>
    </row>
    <row r="250">
      <c r="A250" s="11">
        <f>IF(B250="","",ROW()-7)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7" t="n"/>
      <c r="J250" s="17" t="n"/>
      <c r="K250" s="12" t="n"/>
      <c r="L250" s="12" t="n"/>
      <c r="M250" s="12" t="n"/>
      <c r="N250" s="12" t="n"/>
      <c r="O250" s="12" t="n"/>
      <c r="P250" s="17" t="n"/>
      <c r="Q250" s="14">
        <f>IF(P250="","",TODAY()-P250)</f>
        <v/>
      </c>
      <c r="R250" s="12" t="n"/>
      <c r="S250" s="17" t="n"/>
      <c r="T250" s="12" t="n"/>
      <c r="U250" s="12" t="n"/>
      <c r="V250" s="12" t="n"/>
      <c r="W250" s="15" t="n"/>
      <c r="X250" s="12" t="n"/>
      <c r="Y250" s="12" t="n"/>
    </row>
    <row r="251">
      <c r="A251" s="11">
        <f>IF(B251="","",ROW()-7)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7" t="n"/>
      <c r="J251" s="17" t="n"/>
      <c r="K251" s="12" t="n"/>
      <c r="L251" s="12" t="n"/>
      <c r="M251" s="12" t="n"/>
      <c r="N251" s="12" t="n"/>
      <c r="O251" s="12" t="n"/>
      <c r="P251" s="17" t="n"/>
      <c r="Q251" s="14">
        <f>IF(P251="","",TODAY()-P251)</f>
        <v/>
      </c>
      <c r="R251" s="12" t="n"/>
      <c r="S251" s="17" t="n"/>
      <c r="T251" s="12" t="n"/>
      <c r="U251" s="12" t="n"/>
      <c r="V251" s="12" t="n"/>
      <c r="W251" s="15" t="n"/>
      <c r="X251" s="12" t="n"/>
      <c r="Y251" s="12" t="n"/>
    </row>
    <row r="252">
      <c r="A252" s="11">
        <f>IF(B252="","",ROW()-7)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7" t="n"/>
      <c r="J252" s="17" t="n"/>
      <c r="K252" s="12" t="n"/>
      <c r="L252" s="12" t="n"/>
      <c r="M252" s="12" t="n"/>
      <c r="N252" s="12" t="n"/>
      <c r="O252" s="12" t="n"/>
      <c r="P252" s="17" t="n"/>
      <c r="Q252" s="14">
        <f>IF(P252="","",TODAY()-P252)</f>
        <v/>
      </c>
      <c r="R252" s="12" t="n"/>
      <c r="S252" s="17" t="n"/>
      <c r="T252" s="12" t="n"/>
      <c r="U252" s="12" t="n"/>
      <c r="V252" s="12" t="n"/>
      <c r="W252" s="15" t="n"/>
      <c r="X252" s="12" t="n"/>
      <c r="Y252" s="12" t="n"/>
    </row>
    <row r="253">
      <c r="A253" s="11">
        <f>IF(B253="","",ROW()-7)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7" t="n"/>
      <c r="J253" s="17" t="n"/>
      <c r="K253" s="12" t="n"/>
      <c r="L253" s="12" t="n"/>
      <c r="M253" s="12" t="n"/>
      <c r="N253" s="12" t="n"/>
      <c r="O253" s="12" t="n"/>
      <c r="P253" s="17" t="n"/>
      <c r="Q253" s="14">
        <f>IF(P253="","",TODAY()-P253)</f>
        <v/>
      </c>
      <c r="R253" s="12" t="n"/>
      <c r="S253" s="17" t="n"/>
      <c r="T253" s="12" t="n"/>
      <c r="U253" s="12" t="n"/>
      <c r="V253" s="12" t="n"/>
      <c r="W253" s="15" t="n"/>
      <c r="X253" s="12" t="n"/>
      <c r="Y253" s="12" t="n"/>
    </row>
    <row r="254">
      <c r="A254" s="11">
        <f>IF(B254="","",ROW()-7)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7" t="n"/>
      <c r="J254" s="17" t="n"/>
      <c r="K254" s="12" t="n"/>
      <c r="L254" s="12" t="n"/>
      <c r="M254" s="12" t="n"/>
      <c r="N254" s="12" t="n"/>
      <c r="O254" s="12" t="n"/>
      <c r="P254" s="17" t="n"/>
      <c r="Q254" s="14">
        <f>IF(P254="","",TODAY()-P254)</f>
        <v/>
      </c>
      <c r="R254" s="12" t="n"/>
      <c r="S254" s="17" t="n"/>
      <c r="T254" s="12" t="n"/>
      <c r="U254" s="12" t="n"/>
      <c r="V254" s="12" t="n"/>
      <c r="W254" s="15" t="n"/>
      <c r="X254" s="12" t="n"/>
      <c r="Y254" s="12" t="n"/>
    </row>
    <row r="255">
      <c r="A255" s="11">
        <f>IF(B255="","",ROW()-7)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7" t="n"/>
      <c r="J255" s="17" t="n"/>
      <c r="K255" s="12" t="n"/>
      <c r="L255" s="12" t="n"/>
      <c r="M255" s="12" t="n"/>
      <c r="N255" s="12" t="n"/>
      <c r="O255" s="12" t="n"/>
      <c r="P255" s="17" t="n"/>
      <c r="Q255" s="14">
        <f>IF(P255="","",TODAY()-P255)</f>
        <v/>
      </c>
      <c r="R255" s="12" t="n"/>
      <c r="S255" s="17" t="n"/>
      <c r="T255" s="12" t="n"/>
      <c r="U255" s="12" t="n"/>
      <c r="V255" s="12" t="n"/>
      <c r="W255" s="15" t="n"/>
      <c r="X255" s="12" t="n"/>
      <c r="Y255" s="12" t="n"/>
    </row>
    <row r="256">
      <c r="A256" s="11">
        <f>IF(B256="","",ROW()-7)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7" t="n"/>
      <c r="J256" s="17" t="n"/>
      <c r="K256" s="12" t="n"/>
      <c r="L256" s="12" t="n"/>
      <c r="M256" s="12" t="n"/>
      <c r="N256" s="12" t="n"/>
      <c r="O256" s="12" t="n"/>
      <c r="P256" s="17" t="n"/>
      <c r="Q256" s="14">
        <f>IF(P256="","",TODAY()-P256)</f>
        <v/>
      </c>
      <c r="R256" s="12" t="n"/>
      <c r="S256" s="17" t="n"/>
      <c r="T256" s="12" t="n"/>
      <c r="U256" s="12" t="n"/>
      <c r="V256" s="12" t="n"/>
      <c r="W256" s="15" t="n"/>
      <c r="X256" s="12" t="n"/>
      <c r="Y256" s="12" t="n"/>
    </row>
    <row r="257">
      <c r="A257" s="11">
        <f>IF(B257="","",ROW()-7)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7" t="n"/>
      <c r="J257" s="17" t="n"/>
      <c r="K257" s="12" t="n"/>
      <c r="L257" s="12" t="n"/>
      <c r="M257" s="12" t="n"/>
      <c r="N257" s="12" t="n"/>
      <c r="O257" s="12" t="n"/>
      <c r="P257" s="17" t="n"/>
      <c r="Q257" s="14">
        <f>IF(P257="","",TODAY()-P257)</f>
        <v/>
      </c>
      <c r="R257" s="12" t="n"/>
      <c r="S257" s="17" t="n"/>
      <c r="T257" s="12" t="n"/>
      <c r="U257" s="12" t="n"/>
      <c r="V257" s="12" t="n"/>
      <c r="W257" s="15" t="n"/>
      <c r="X257" s="12" t="n"/>
      <c r="Y257" s="12" t="n"/>
    </row>
    <row r="258">
      <c r="A258" s="11">
        <f>IF(B258="","",ROW()-7)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7" t="n"/>
      <c r="J258" s="17" t="n"/>
      <c r="K258" s="12" t="n"/>
      <c r="L258" s="12" t="n"/>
      <c r="M258" s="12" t="n"/>
      <c r="N258" s="12" t="n"/>
      <c r="O258" s="12" t="n"/>
      <c r="P258" s="17" t="n"/>
      <c r="Q258" s="14">
        <f>IF(P258="","",TODAY()-P258)</f>
        <v/>
      </c>
      <c r="R258" s="12" t="n"/>
      <c r="S258" s="17" t="n"/>
      <c r="T258" s="12" t="n"/>
      <c r="U258" s="12" t="n"/>
      <c r="V258" s="12" t="n"/>
      <c r="W258" s="15" t="n"/>
      <c r="X258" s="12" t="n"/>
      <c r="Y258" s="12" t="n"/>
    </row>
    <row r="259">
      <c r="A259" s="11">
        <f>IF(B259="","",ROW()-7)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7" t="n"/>
      <c r="J259" s="17" t="n"/>
      <c r="K259" s="12" t="n"/>
      <c r="L259" s="12" t="n"/>
      <c r="M259" s="12" t="n"/>
      <c r="N259" s="12" t="n"/>
      <c r="O259" s="12" t="n"/>
      <c r="P259" s="17" t="n"/>
      <c r="Q259" s="14">
        <f>IF(P259="","",TODAY()-P259)</f>
        <v/>
      </c>
      <c r="R259" s="12" t="n"/>
      <c r="S259" s="17" t="n"/>
      <c r="T259" s="12" t="n"/>
      <c r="U259" s="12" t="n"/>
      <c r="V259" s="12" t="n"/>
      <c r="W259" s="15" t="n"/>
      <c r="X259" s="12" t="n"/>
      <c r="Y259" s="12" t="n"/>
    </row>
    <row r="260">
      <c r="A260" s="11">
        <f>IF(B260="","",ROW()-7)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7" t="n"/>
      <c r="J260" s="17" t="n"/>
      <c r="K260" s="12" t="n"/>
      <c r="L260" s="12" t="n"/>
      <c r="M260" s="12" t="n"/>
      <c r="N260" s="12" t="n"/>
      <c r="O260" s="12" t="n"/>
      <c r="P260" s="17" t="n"/>
      <c r="Q260" s="14">
        <f>IF(P260="","",TODAY()-P260)</f>
        <v/>
      </c>
      <c r="R260" s="12" t="n"/>
      <c r="S260" s="17" t="n"/>
      <c r="T260" s="12" t="n"/>
      <c r="U260" s="12" t="n"/>
      <c r="V260" s="12" t="n"/>
      <c r="W260" s="15" t="n"/>
      <c r="X260" s="12" t="n"/>
      <c r="Y260" s="12" t="n"/>
    </row>
    <row r="261">
      <c r="A261" s="11">
        <f>IF(B261="","",ROW()-7)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7" t="n"/>
      <c r="J261" s="17" t="n"/>
      <c r="K261" s="12" t="n"/>
      <c r="L261" s="12" t="n"/>
      <c r="M261" s="12" t="n"/>
      <c r="N261" s="12" t="n"/>
      <c r="O261" s="12" t="n"/>
      <c r="P261" s="17" t="n"/>
      <c r="Q261" s="14">
        <f>IF(P261="","",TODAY()-P261)</f>
        <v/>
      </c>
      <c r="R261" s="12" t="n"/>
      <c r="S261" s="17" t="n"/>
      <c r="T261" s="12" t="n"/>
      <c r="U261" s="12" t="n"/>
      <c r="V261" s="12" t="n"/>
      <c r="W261" s="15" t="n"/>
      <c r="X261" s="12" t="n"/>
      <c r="Y261" s="12" t="n"/>
    </row>
    <row r="262">
      <c r="A262" s="11">
        <f>IF(B262="","",ROW()-7)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7" t="n"/>
      <c r="J262" s="17" t="n"/>
      <c r="K262" s="12" t="n"/>
      <c r="L262" s="12" t="n"/>
      <c r="M262" s="12" t="n"/>
      <c r="N262" s="12" t="n"/>
      <c r="O262" s="12" t="n"/>
      <c r="P262" s="17" t="n"/>
      <c r="Q262" s="14">
        <f>IF(P262="","",TODAY()-P262)</f>
        <v/>
      </c>
      <c r="R262" s="12" t="n"/>
      <c r="S262" s="17" t="n"/>
      <c r="T262" s="12" t="n"/>
      <c r="U262" s="12" t="n"/>
      <c r="V262" s="12" t="n"/>
      <c r="W262" s="15" t="n"/>
      <c r="X262" s="12" t="n"/>
      <c r="Y262" s="12" t="n"/>
    </row>
    <row r="263">
      <c r="A263" s="11">
        <f>IF(B263="","",ROW()-7)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7" t="n"/>
      <c r="J263" s="17" t="n"/>
      <c r="K263" s="12" t="n"/>
      <c r="L263" s="12" t="n"/>
      <c r="M263" s="12" t="n"/>
      <c r="N263" s="12" t="n"/>
      <c r="O263" s="12" t="n"/>
      <c r="P263" s="17" t="n"/>
      <c r="Q263" s="14">
        <f>IF(P263="","",TODAY()-P263)</f>
        <v/>
      </c>
      <c r="R263" s="12" t="n"/>
      <c r="S263" s="17" t="n"/>
      <c r="T263" s="12" t="n"/>
      <c r="U263" s="12" t="n"/>
      <c r="V263" s="12" t="n"/>
      <c r="W263" s="15" t="n"/>
      <c r="X263" s="12" t="n"/>
      <c r="Y263" s="12" t="n"/>
    </row>
    <row r="264">
      <c r="A264" s="11">
        <f>IF(B264="","",ROW()-7)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7" t="n"/>
      <c r="J264" s="17" t="n"/>
      <c r="K264" s="12" t="n"/>
      <c r="L264" s="12" t="n"/>
      <c r="M264" s="12" t="n"/>
      <c r="N264" s="12" t="n"/>
      <c r="O264" s="12" t="n"/>
      <c r="P264" s="17" t="n"/>
      <c r="Q264" s="14">
        <f>IF(P264="","",TODAY()-P264)</f>
        <v/>
      </c>
      <c r="R264" s="12" t="n"/>
      <c r="S264" s="17" t="n"/>
      <c r="T264" s="12" t="n"/>
      <c r="U264" s="12" t="n"/>
      <c r="V264" s="12" t="n"/>
      <c r="W264" s="15" t="n"/>
      <c r="X264" s="12" t="n"/>
      <c r="Y264" s="12" t="n"/>
    </row>
    <row r="265">
      <c r="A265" s="11">
        <f>IF(B265="","",ROW()-7)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7" t="n"/>
      <c r="J265" s="17" t="n"/>
      <c r="K265" s="12" t="n"/>
      <c r="L265" s="12" t="n"/>
      <c r="M265" s="12" t="n"/>
      <c r="N265" s="12" t="n"/>
      <c r="O265" s="12" t="n"/>
      <c r="P265" s="17" t="n"/>
      <c r="Q265" s="14">
        <f>IF(P265="","",TODAY()-P265)</f>
        <v/>
      </c>
      <c r="R265" s="12" t="n"/>
      <c r="S265" s="17" t="n"/>
      <c r="T265" s="12" t="n"/>
      <c r="U265" s="12" t="n"/>
      <c r="V265" s="12" t="n"/>
      <c r="W265" s="15" t="n"/>
      <c r="X265" s="12" t="n"/>
      <c r="Y265" s="12" t="n"/>
    </row>
    <row r="266">
      <c r="A266" s="11">
        <f>IF(B266="","",ROW()-7)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7" t="n"/>
      <c r="J266" s="17" t="n"/>
      <c r="K266" s="12" t="n"/>
      <c r="L266" s="12" t="n"/>
      <c r="M266" s="12" t="n"/>
      <c r="N266" s="12" t="n"/>
      <c r="O266" s="12" t="n"/>
      <c r="P266" s="17" t="n"/>
      <c r="Q266" s="14">
        <f>IF(P266="","",TODAY()-P266)</f>
        <v/>
      </c>
      <c r="R266" s="12" t="n"/>
      <c r="S266" s="17" t="n"/>
      <c r="T266" s="12" t="n"/>
      <c r="U266" s="12" t="n"/>
      <c r="V266" s="12" t="n"/>
      <c r="W266" s="15" t="n"/>
      <c r="X266" s="12" t="n"/>
      <c r="Y266" s="12" t="n"/>
    </row>
    <row r="267">
      <c r="A267" s="11">
        <f>IF(B267="","",ROW()-7)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7" t="n"/>
      <c r="J267" s="17" t="n"/>
      <c r="K267" s="12" t="n"/>
      <c r="L267" s="12" t="n"/>
      <c r="M267" s="12" t="n"/>
      <c r="N267" s="12" t="n"/>
      <c r="O267" s="12" t="n"/>
      <c r="P267" s="17" t="n"/>
      <c r="Q267" s="14">
        <f>IF(P267="","",TODAY()-P267)</f>
        <v/>
      </c>
      <c r="R267" s="12" t="n"/>
      <c r="S267" s="17" t="n"/>
      <c r="T267" s="12" t="n"/>
      <c r="U267" s="12" t="n"/>
      <c r="V267" s="12" t="n"/>
      <c r="W267" s="15" t="n"/>
      <c r="X267" s="12" t="n"/>
      <c r="Y267" s="12" t="n"/>
    </row>
    <row r="268">
      <c r="A268" s="11">
        <f>IF(B268="","",ROW()-7)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7" t="n"/>
      <c r="J268" s="17" t="n"/>
      <c r="K268" s="12" t="n"/>
      <c r="L268" s="12" t="n"/>
      <c r="M268" s="12" t="n"/>
      <c r="N268" s="12" t="n"/>
      <c r="O268" s="12" t="n"/>
      <c r="P268" s="17" t="n"/>
      <c r="Q268" s="14">
        <f>IF(P268="","",TODAY()-P268)</f>
        <v/>
      </c>
      <c r="R268" s="12" t="n"/>
      <c r="S268" s="17" t="n"/>
      <c r="T268" s="12" t="n"/>
      <c r="U268" s="12" t="n"/>
      <c r="V268" s="12" t="n"/>
      <c r="W268" s="15" t="n"/>
      <c r="X268" s="12" t="n"/>
      <c r="Y268" s="12" t="n"/>
    </row>
    <row r="269">
      <c r="A269" s="11">
        <f>IF(B269="","",ROW()-7)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7" t="n"/>
      <c r="J269" s="17" t="n"/>
      <c r="K269" s="12" t="n"/>
      <c r="L269" s="12" t="n"/>
      <c r="M269" s="12" t="n"/>
      <c r="N269" s="12" t="n"/>
      <c r="O269" s="12" t="n"/>
      <c r="P269" s="17" t="n"/>
      <c r="Q269" s="14">
        <f>IF(P269="","",TODAY()-P269)</f>
        <v/>
      </c>
      <c r="R269" s="12" t="n"/>
      <c r="S269" s="17" t="n"/>
      <c r="T269" s="12" t="n"/>
      <c r="U269" s="12" t="n"/>
      <c r="V269" s="12" t="n"/>
      <c r="W269" s="15" t="n"/>
      <c r="X269" s="12" t="n"/>
      <c r="Y269" s="12" t="n"/>
    </row>
    <row r="270">
      <c r="A270" s="11">
        <f>IF(B270="","",ROW()-7)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7" t="n"/>
      <c r="J270" s="17" t="n"/>
      <c r="K270" s="12" t="n"/>
      <c r="L270" s="12" t="n"/>
      <c r="M270" s="12" t="n"/>
      <c r="N270" s="12" t="n"/>
      <c r="O270" s="12" t="n"/>
      <c r="P270" s="17" t="n"/>
      <c r="Q270" s="14">
        <f>IF(P270="","",TODAY()-P270)</f>
        <v/>
      </c>
      <c r="R270" s="12" t="n"/>
      <c r="S270" s="17" t="n"/>
      <c r="T270" s="12" t="n"/>
      <c r="U270" s="12" t="n"/>
      <c r="V270" s="12" t="n"/>
      <c r="W270" s="15" t="n"/>
      <c r="X270" s="12" t="n"/>
      <c r="Y270" s="12" t="n"/>
    </row>
    <row r="271">
      <c r="A271" s="11">
        <f>IF(B271="","",ROW()-7)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7" t="n"/>
      <c r="J271" s="17" t="n"/>
      <c r="K271" s="12" t="n"/>
      <c r="L271" s="12" t="n"/>
      <c r="M271" s="12" t="n"/>
      <c r="N271" s="12" t="n"/>
      <c r="O271" s="12" t="n"/>
      <c r="P271" s="17" t="n"/>
      <c r="Q271" s="14">
        <f>IF(P271="","",TODAY()-P271)</f>
        <v/>
      </c>
      <c r="R271" s="12" t="n"/>
      <c r="S271" s="17" t="n"/>
      <c r="T271" s="12" t="n"/>
      <c r="U271" s="12" t="n"/>
      <c r="V271" s="12" t="n"/>
      <c r="W271" s="15" t="n"/>
      <c r="X271" s="12" t="n"/>
      <c r="Y271" s="12" t="n"/>
    </row>
    <row r="272">
      <c r="A272" s="11">
        <f>IF(B272="","",ROW()-7)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7" t="n"/>
      <c r="J272" s="17" t="n"/>
      <c r="K272" s="12" t="n"/>
      <c r="L272" s="12" t="n"/>
      <c r="M272" s="12" t="n"/>
      <c r="N272" s="12" t="n"/>
      <c r="O272" s="12" t="n"/>
      <c r="P272" s="17" t="n"/>
      <c r="Q272" s="14">
        <f>IF(P272="","",TODAY()-P272)</f>
        <v/>
      </c>
      <c r="R272" s="12" t="n"/>
      <c r="S272" s="17" t="n"/>
      <c r="T272" s="12" t="n"/>
      <c r="U272" s="12" t="n"/>
      <c r="V272" s="12" t="n"/>
      <c r="W272" s="15" t="n"/>
      <c r="X272" s="12" t="n"/>
      <c r="Y272" s="12" t="n"/>
    </row>
    <row r="273">
      <c r="A273" s="11">
        <f>IF(B273="","",ROW()-7)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7" t="n"/>
      <c r="J273" s="17" t="n"/>
      <c r="K273" s="12" t="n"/>
      <c r="L273" s="12" t="n"/>
      <c r="M273" s="12" t="n"/>
      <c r="N273" s="12" t="n"/>
      <c r="O273" s="12" t="n"/>
      <c r="P273" s="17" t="n"/>
      <c r="Q273" s="14">
        <f>IF(P273="","",TODAY()-P273)</f>
        <v/>
      </c>
      <c r="R273" s="12" t="n"/>
      <c r="S273" s="17" t="n"/>
      <c r="T273" s="12" t="n"/>
      <c r="U273" s="12" t="n"/>
      <c r="V273" s="12" t="n"/>
      <c r="W273" s="15" t="n"/>
      <c r="X273" s="12" t="n"/>
      <c r="Y273" s="12" t="n"/>
    </row>
    <row r="274">
      <c r="A274" s="11">
        <f>IF(B274="","",ROW()-7)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7" t="n"/>
      <c r="J274" s="17" t="n"/>
      <c r="K274" s="12" t="n"/>
      <c r="L274" s="12" t="n"/>
      <c r="M274" s="12" t="n"/>
      <c r="N274" s="12" t="n"/>
      <c r="O274" s="12" t="n"/>
      <c r="P274" s="17" t="n"/>
      <c r="Q274" s="14">
        <f>IF(P274="","",TODAY()-P274)</f>
        <v/>
      </c>
      <c r="R274" s="12" t="n"/>
      <c r="S274" s="17" t="n"/>
      <c r="T274" s="12" t="n"/>
      <c r="U274" s="12" t="n"/>
      <c r="V274" s="12" t="n"/>
      <c r="W274" s="15" t="n"/>
      <c r="X274" s="12" t="n"/>
      <c r="Y274" s="12" t="n"/>
    </row>
    <row r="275">
      <c r="A275" s="11">
        <f>IF(B275="","",ROW()-7)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7" t="n"/>
      <c r="J275" s="17" t="n"/>
      <c r="K275" s="12" t="n"/>
      <c r="L275" s="12" t="n"/>
      <c r="M275" s="12" t="n"/>
      <c r="N275" s="12" t="n"/>
      <c r="O275" s="12" t="n"/>
      <c r="P275" s="17" t="n"/>
      <c r="Q275" s="14">
        <f>IF(P275="","",TODAY()-P275)</f>
        <v/>
      </c>
      <c r="R275" s="12" t="n"/>
      <c r="S275" s="17" t="n"/>
      <c r="T275" s="12" t="n"/>
      <c r="U275" s="12" t="n"/>
      <c r="V275" s="12" t="n"/>
      <c r="W275" s="15" t="n"/>
      <c r="X275" s="12" t="n"/>
      <c r="Y275" s="12" t="n"/>
    </row>
    <row r="276">
      <c r="A276" s="11">
        <f>IF(B276="","",ROW()-7)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7" t="n"/>
      <c r="J276" s="17" t="n"/>
      <c r="K276" s="12" t="n"/>
      <c r="L276" s="12" t="n"/>
      <c r="M276" s="12" t="n"/>
      <c r="N276" s="12" t="n"/>
      <c r="O276" s="12" t="n"/>
      <c r="P276" s="17" t="n"/>
      <c r="Q276" s="14">
        <f>IF(P276="","",TODAY()-P276)</f>
        <v/>
      </c>
      <c r="R276" s="12" t="n"/>
      <c r="S276" s="17" t="n"/>
      <c r="T276" s="12" t="n"/>
      <c r="U276" s="12" t="n"/>
      <c r="V276" s="12" t="n"/>
      <c r="W276" s="15" t="n"/>
      <c r="X276" s="12" t="n"/>
      <c r="Y276" s="12" t="n"/>
    </row>
    <row r="277">
      <c r="A277" s="11">
        <f>IF(B277="","",ROW()-7)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7" t="n"/>
      <c r="J277" s="17" t="n"/>
      <c r="K277" s="12" t="n"/>
      <c r="L277" s="12" t="n"/>
      <c r="M277" s="12" t="n"/>
      <c r="N277" s="12" t="n"/>
      <c r="O277" s="12" t="n"/>
      <c r="P277" s="17" t="n"/>
      <c r="Q277" s="14">
        <f>IF(P277="","",TODAY()-P277)</f>
        <v/>
      </c>
      <c r="R277" s="12" t="n"/>
      <c r="S277" s="17" t="n"/>
      <c r="T277" s="12" t="n"/>
      <c r="U277" s="12" t="n"/>
      <c r="V277" s="12" t="n"/>
      <c r="W277" s="15" t="n"/>
      <c r="X277" s="12" t="n"/>
      <c r="Y277" s="12" t="n"/>
    </row>
    <row r="278">
      <c r="A278" s="11">
        <f>IF(B278="","",ROW()-7)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7" t="n"/>
      <c r="J278" s="17" t="n"/>
      <c r="K278" s="12" t="n"/>
      <c r="L278" s="12" t="n"/>
      <c r="M278" s="12" t="n"/>
      <c r="N278" s="12" t="n"/>
      <c r="O278" s="12" t="n"/>
      <c r="P278" s="17" t="n"/>
      <c r="Q278" s="14">
        <f>IF(P278="","",TODAY()-P278)</f>
        <v/>
      </c>
      <c r="R278" s="12" t="n"/>
      <c r="S278" s="17" t="n"/>
      <c r="T278" s="12" t="n"/>
      <c r="U278" s="12" t="n"/>
      <c r="V278" s="12" t="n"/>
      <c r="W278" s="15" t="n"/>
      <c r="X278" s="12" t="n"/>
      <c r="Y278" s="12" t="n"/>
    </row>
    <row r="279">
      <c r="A279" s="11">
        <f>IF(B279="","",ROW()-7)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7" t="n"/>
      <c r="J279" s="17" t="n"/>
      <c r="K279" s="12" t="n"/>
      <c r="L279" s="12" t="n"/>
      <c r="M279" s="12" t="n"/>
      <c r="N279" s="12" t="n"/>
      <c r="O279" s="12" t="n"/>
      <c r="P279" s="17" t="n"/>
      <c r="Q279" s="14">
        <f>IF(P279="","",TODAY()-P279)</f>
        <v/>
      </c>
      <c r="R279" s="12" t="n"/>
      <c r="S279" s="17" t="n"/>
      <c r="T279" s="12" t="n"/>
      <c r="U279" s="12" t="n"/>
      <c r="V279" s="12" t="n"/>
      <c r="W279" s="15" t="n"/>
      <c r="X279" s="12" t="n"/>
      <c r="Y279" s="12" t="n"/>
    </row>
    <row r="280">
      <c r="A280" s="11">
        <f>IF(B280="","",ROW()-7)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7" t="n"/>
      <c r="J280" s="17" t="n"/>
      <c r="K280" s="12" t="n"/>
      <c r="L280" s="12" t="n"/>
      <c r="M280" s="12" t="n"/>
      <c r="N280" s="12" t="n"/>
      <c r="O280" s="12" t="n"/>
      <c r="P280" s="17" t="n"/>
      <c r="Q280" s="14">
        <f>IF(P280="","",TODAY()-P280)</f>
        <v/>
      </c>
      <c r="R280" s="12" t="n"/>
      <c r="S280" s="17" t="n"/>
      <c r="T280" s="12" t="n"/>
      <c r="U280" s="12" t="n"/>
      <c r="V280" s="12" t="n"/>
      <c r="W280" s="15" t="n"/>
      <c r="X280" s="12" t="n"/>
      <c r="Y280" s="12" t="n"/>
    </row>
    <row r="281">
      <c r="A281" s="11">
        <f>IF(B281="","",ROW()-7)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7" t="n"/>
      <c r="J281" s="17" t="n"/>
      <c r="K281" s="12" t="n"/>
      <c r="L281" s="12" t="n"/>
      <c r="M281" s="12" t="n"/>
      <c r="N281" s="12" t="n"/>
      <c r="O281" s="12" t="n"/>
      <c r="P281" s="17" t="n"/>
      <c r="Q281" s="14">
        <f>IF(P281="","",TODAY()-P281)</f>
        <v/>
      </c>
      <c r="R281" s="12" t="n"/>
      <c r="S281" s="17" t="n"/>
      <c r="T281" s="12" t="n"/>
      <c r="U281" s="12" t="n"/>
      <c r="V281" s="12" t="n"/>
      <c r="W281" s="15" t="n"/>
      <c r="X281" s="12" t="n"/>
      <c r="Y281" s="12" t="n"/>
    </row>
    <row r="282">
      <c r="A282" s="11">
        <f>IF(B282="","",ROW()-7)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7" t="n"/>
      <c r="J282" s="17" t="n"/>
      <c r="K282" s="12" t="n"/>
      <c r="L282" s="12" t="n"/>
      <c r="M282" s="12" t="n"/>
      <c r="N282" s="12" t="n"/>
      <c r="O282" s="12" t="n"/>
      <c r="P282" s="17" t="n"/>
      <c r="Q282" s="14">
        <f>IF(P282="","",TODAY()-P282)</f>
        <v/>
      </c>
      <c r="R282" s="12" t="n"/>
      <c r="S282" s="17" t="n"/>
      <c r="T282" s="12" t="n"/>
      <c r="U282" s="12" t="n"/>
      <c r="V282" s="12" t="n"/>
      <c r="W282" s="15" t="n"/>
      <c r="X282" s="12" t="n"/>
      <c r="Y282" s="12" t="n"/>
    </row>
    <row r="283">
      <c r="A283" s="11">
        <f>IF(B283="","",ROW()-7)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7" t="n"/>
      <c r="J283" s="17" t="n"/>
      <c r="K283" s="12" t="n"/>
      <c r="L283" s="12" t="n"/>
      <c r="M283" s="12" t="n"/>
      <c r="N283" s="12" t="n"/>
      <c r="O283" s="12" t="n"/>
      <c r="P283" s="17" t="n"/>
      <c r="Q283" s="14">
        <f>IF(P283="","",TODAY()-P283)</f>
        <v/>
      </c>
      <c r="R283" s="12" t="n"/>
      <c r="S283" s="17" t="n"/>
      <c r="T283" s="12" t="n"/>
      <c r="U283" s="12" t="n"/>
      <c r="V283" s="12" t="n"/>
      <c r="W283" s="15" t="n"/>
      <c r="X283" s="12" t="n"/>
      <c r="Y283" s="12" t="n"/>
    </row>
    <row r="284">
      <c r="A284" s="11">
        <f>IF(B284="","",ROW()-7)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7" t="n"/>
      <c r="J284" s="17" t="n"/>
      <c r="K284" s="12" t="n"/>
      <c r="L284" s="12" t="n"/>
      <c r="M284" s="12" t="n"/>
      <c r="N284" s="12" t="n"/>
      <c r="O284" s="12" t="n"/>
      <c r="P284" s="17" t="n"/>
      <c r="Q284" s="14">
        <f>IF(P284="","",TODAY()-P284)</f>
        <v/>
      </c>
      <c r="R284" s="12" t="n"/>
      <c r="S284" s="17" t="n"/>
      <c r="T284" s="12" t="n"/>
      <c r="U284" s="12" t="n"/>
      <c r="V284" s="12" t="n"/>
      <c r="W284" s="15" t="n"/>
      <c r="X284" s="12" t="n"/>
      <c r="Y284" s="12" t="n"/>
    </row>
    <row r="285">
      <c r="A285" s="11">
        <f>IF(B285="","",ROW()-7)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7" t="n"/>
      <c r="J285" s="17" t="n"/>
      <c r="K285" s="12" t="n"/>
      <c r="L285" s="12" t="n"/>
      <c r="M285" s="12" t="n"/>
      <c r="N285" s="12" t="n"/>
      <c r="O285" s="12" t="n"/>
      <c r="P285" s="17" t="n"/>
      <c r="Q285" s="14">
        <f>IF(P285="","",TODAY()-P285)</f>
        <v/>
      </c>
      <c r="R285" s="12" t="n"/>
      <c r="S285" s="17" t="n"/>
      <c r="T285" s="12" t="n"/>
      <c r="U285" s="12" t="n"/>
      <c r="V285" s="12" t="n"/>
      <c r="W285" s="15" t="n"/>
      <c r="X285" s="12" t="n"/>
      <c r="Y285" s="12" t="n"/>
    </row>
    <row r="286">
      <c r="A286" s="11">
        <f>IF(B286="","",ROW()-7)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7" t="n"/>
      <c r="J286" s="17" t="n"/>
      <c r="K286" s="12" t="n"/>
      <c r="L286" s="12" t="n"/>
      <c r="M286" s="12" t="n"/>
      <c r="N286" s="12" t="n"/>
      <c r="O286" s="12" t="n"/>
      <c r="P286" s="17" t="n"/>
      <c r="Q286" s="14">
        <f>IF(P286="","",TODAY()-P286)</f>
        <v/>
      </c>
      <c r="R286" s="12" t="n"/>
      <c r="S286" s="17" t="n"/>
      <c r="T286" s="12" t="n"/>
      <c r="U286" s="12" t="n"/>
      <c r="V286" s="12" t="n"/>
      <c r="W286" s="15" t="n"/>
      <c r="X286" s="12" t="n"/>
      <c r="Y286" s="12" t="n"/>
    </row>
    <row r="287">
      <c r="A287" s="11">
        <f>IF(B287="","",ROW()-7)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7" t="n"/>
      <c r="J287" s="17" t="n"/>
      <c r="K287" s="12" t="n"/>
      <c r="L287" s="12" t="n"/>
      <c r="M287" s="12" t="n"/>
      <c r="N287" s="12" t="n"/>
      <c r="O287" s="12" t="n"/>
      <c r="P287" s="17" t="n"/>
      <c r="Q287" s="14">
        <f>IF(P287="","",TODAY()-P287)</f>
        <v/>
      </c>
      <c r="R287" s="12" t="n"/>
      <c r="S287" s="17" t="n"/>
      <c r="T287" s="12" t="n"/>
      <c r="U287" s="12" t="n"/>
      <c r="V287" s="12" t="n"/>
      <c r="W287" s="15" t="n"/>
      <c r="X287" s="12" t="n"/>
      <c r="Y287" s="12" t="n"/>
    </row>
    <row r="288">
      <c r="A288" s="11">
        <f>IF(B288="","",ROW()-7)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7" t="n"/>
      <c r="J288" s="17" t="n"/>
      <c r="K288" s="12" t="n"/>
      <c r="L288" s="12" t="n"/>
      <c r="M288" s="12" t="n"/>
      <c r="N288" s="12" t="n"/>
      <c r="O288" s="12" t="n"/>
      <c r="P288" s="17" t="n"/>
      <c r="Q288" s="14">
        <f>IF(P288="","",TODAY()-P288)</f>
        <v/>
      </c>
      <c r="R288" s="12" t="n"/>
      <c r="S288" s="17" t="n"/>
      <c r="T288" s="12" t="n"/>
      <c r="U288" s="12" t="n"/>
      <c r="V288" s="12" t="n"/>
      <c r="W288" s="15" t="n"/>
      <c r="X288" s="12" t="n"/>
      <c r="Y288" s="12" t="n"/>
    </row>
    <row r="289">
      <c r="A289" s="11">
        <f>IF(B289="","",ROW()-7)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7" t="n"/>
      <c r="J289" s="17" t="n"/>
      <c r="K289" s="12" t="n"/>
      <c r="L289" s="12" t="n"/>
      <c r="M289" s="12" t="n"/>
      <c r="N289" s="12" t="n"/>
      <c r="O289" s="12" t="n"/>
      <c r="P289" s="17" t="n"/>
      <c r="Q289" s="14">
        <f>IF(P289="","",TODAY()-P289)</f>
        <v/>
      </c>
      <c r="R289" s="12" t="n"/>
      <c r="S289" s="17" t="n"/>
      <c r="T289" s="12" t="n"/>
      <c r="U289" s="12" t="n"/>
      <c r="V289" s="12" t="n"/>
      <c r="W289" s="15" t="n"/>
      <c r="X289" s="12" t="n"/>
      <c r="Y289" s="12" t="n"/>
    </row>
    <row r="290">
      <c r="A290" s="11">
        <f>IF(B290="","",ROW()-7)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7" t="n"/>
      <c r="J290" s="17" t="n"/>
      <c r="K290" s="12" t="n"/>
      <c r="L290" s="12" t="n"/>
      <c r="M290" s="12" t="n"/>
      <c r="N290" s="12" t="n"/>
      <c r="O290" s="12" t="n"/>
      <c r="P290" s="17" t="n"/>
      <c r="Q290" s="14">
        <f>IF(P290="","",TODAY()-P290)</f>
        <v/>
      </c>
      <c r="R290" s="12" t="n"/>
      <c r="S290" s="17" t="n"/>
      <c r="T290" s="12" t="n"/>
      <c r="U290" s="12" t="n"/>
      <c r="V290" s="12" t="n"/>
      <c r="W290" s="15" t="n"/>
      <c r="X290" s="12" t="n"/>
      <c r="Y290" s="12" t="n"/>
    </row>
    <row r="291">
      <c r="A291" s="11">
        <f>IF(B291="","",ROW()-7)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7" t="n"/>
      <c r="J291" s="17" t="n"/>
      <c r="K291" s="12" t="n"/>
      <c r="L291" s="12" t="n"/>
      <c r="M291" s="12" t="n"/>
      <c r="N291" s="12" t="n"/>
      <c r="O291" s="12" t="n"/>
      <c r="P291" s="17" t="n"/>
      <c r="Q291" s="14">
        <f>IF(P291="","",TODAY()-P291)</f>
        <v/>
      </c>
      <c r="R291" s="12" t="n"/>
      <c r="S291" s="17" t="n"/>
      <c r="T291" s="12" t="n"/>
      <c r="U291" s="12" t="n"/>
      <c r="V291" s="12" t="n"/>
      <c r="W291" s="15" t="n"/>
      <c r="X291" s="12" t="n"/>
      <c r="Y291" s="12" t="n"/>
    </row>
    <row r="292">
      <c r="A292" s="11">
        <f>IF(B292="","",ROW()-7)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7" t="n"/>
      <c r="J292" s="17" t="n"/>
      <c r="K292" s="12" t="n"/>
      <c r="L292" s="12" t="n"/>
      <c r="M292" s="12" t="n"/>
      <c r="N292" s="12" t="n"/>
      <c r="O292" s="12" t="n"/>
      <c r="P292" s="17" t="n"/>
      <c r="Q292" s="14">
        <f>IF(P292="","",TODAY()-P292)</f>
        <v/>
      </c>
      <c r="R292" s="12" t="n"/>
      <c r="S292" s="17" t="n"/>
      <c r="T292" s="12" t="n"/>
      <c r="U292" s="12" t="n"/>
      <c r="V292" s="12" t="n"/>
      <c r="W292" s="15" t="n"/>
      <c r="X292" s="12" t="n"/>
      <c r="Y292" s="12" t="n"/>
    </row>
    <row r="293">
      <c r="A293" s="11">
        <f>IF(B293="","",ROW()-7)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7" t="n"/>
      <c r="J293" s="17" t="n"/>
      <c r="K293" s="12" t="n"/>
      <c r="L293" s="12" t="n"/>
      <c r="M293" s="12" t="n"/>
      <c r="N293" s="12" t="n"/>
      <c r="O293" s="12" t="n"/>
      <c r="P293" s="17" t="n"/>
      <c r="Q293" s="14">
        <f>IF(P293="","",TODAY()-P293)</f>
        <v/>
      </c>
      <c r="R293" s="12" t="n"/>
      <c r="S293" s="17" t="n"/>
      <c r="T293" s="12" t="n"/>
      <c r="U293" s="12" t="n"/>
      <c r="V293" s="12" t="n"/>
      <c r="W293" s="15" t="n"/>
      <c r="X293" s="12" t="n"/>
      <c r="Y293" s="12" t="n"/>
    </row>
    <row r="294">
      <c r="A294" s="11">
        <f>IF(B294="","",ROW()-7)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7" t="n"/>
      <c r="J294" s="17" t="n"/>
      <c r="K294" s="12" t="n"/>
      <c r="L294" s="12" t="n"/>
      <c r="M294" s="12" t="n"/>
      <c r="N294" s="12" t="n"/>
      <c r="O294" s="12" t="n"/>
      <c r="P294" s="17" t="n"/>
      <c r="Q294" s="14">
        <f>IF(P294="","",TODAY()-P294)</f>
        <v/>
      </c>
      <c r="R294" s="12" t="n"/>
      <c r="S294" s="17" t="n"/>
      <c r="T294" s="12" t="n"/>
      <c r="U294" s="12" t="n"/>
      <c r="V294" s="12" t="n"/>
      <c r="W294" s="15" t="n"/>
      <c r="X294" s="12" t="n"/>
      <c r="Y294" s="12" t="n"/>
    </row>
    <row r="295">
      <c r="A295" s="11">
        <f>IF(B295="","",ROW()-7)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7" t="n"/>
      <c r="J295" s="17" t="n"/>
      <c r="K295" s="12" t="n"/>
      <c r="L295" s="12" t="n"/>
      <c r="M295" s="12" t="n"/>
      <c r="N295" s="12" t="n"/>
      <c r="O295" s="12" t="n"/>
      <c r="P295" s="17" t="n"/>
      <c r="Q295" s="14">
        <f>IF(P295="","",TODAY()-P295)</f>
        <v/>
      </c>
      <c r="R295" s="12" t="n"/>
      <c r="S295" s="17" t="n"/>
      <c r="T295" s="12" t="n"/>
      <c r="U295" s="12" t="n"/>
      <c r="V295" s="12" t="n"/>
      <c r="W295" s="15" t="n"/>
      <c r="X295" s="12" t="n"/>
      <c r="Y295" s="12" t="n"/>
    </row>
    <row r="296">
      <c r="A296" s="11">
        <f>IF(B296="","",ROW()-7)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7" t="n"/>
      <c r="J296" s="17" t="n"/>
      <c r="K296" s="12" t="n"/>
      <c r="L296" s="12" t="n"/>
      <c r="M296" s="12" t="n"/>
      <c r="N296" s="12" t="n"/>
      <c r="O296" s="12" t="n"/>
      <c r="P296" s="17" t="n"/>
      <c r="Q296" s="14">
        <f>IF(P296="","",TODAY()-P296)</f>
        <v/>
      </c>
      <c r="R296" s="12" t="n"/>
      <c r="S296" s="17" t="n"/>
      <c r="T296" s="12" t="n"/>
      <c r="U296" s="12" t="n"/>
      <c r="V296" s="12" t="n"/>
      <c r="W296" s="15" t="n"/>
      <c r="X296" s="12" t="n"/>
      <c r="Y296" s="12" t="n"/>
    </row>
    <row r="297">
      <c r="A297" s="11">
        <f>IF(B297="","",ROW()-7)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7" t="n"/>
      <c r="J297" s="17" t="n"/>
      <c r="K297" s="12" t="n"/>
      <c r="L297" s="12" t="n"/>
      <c r="M297" s="12" t="n"/>
      <c r="N297" s="12" t="n"/>
      <c r="O297" s="12" t="n"/>
      <c r="P297" s="17" t="n"/>
      <c r="Q297" s="14">
        <f>IF(P297="","",TODAY()-P297)</f>
        <v/>
      </c>
      <c r="R297" s="12" t="n"/>
      <c r="S297" s="17" t="n"/>
      <c r="T297" s="12" t="n"/>
      <c r="U297" s="12" t="n"/>
      <c r="V297" s="12" t="n"/>
      <c r="W297" s="15" t="n"/>
      <c r="X297" s="12" t="n"/>
      <c r="Y297" s="12" t="n"/>
    </row>
    <row r="298">
      <c r="A298" s="11">
        <f>IF(B298="","",ROW()-7)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7" t="n"/>
      <c r="J298" s="17" t="n"/>
      <c r="K298" s="12" t="n"/>
      <c r="L298" s="12" t="n"/>
      <c r="M298" s="12" t="n"/>
      <c r="N298" s="12" t="n"/>
      <c r="O298" s="12" t="n"/>
      <c r="P298" s="17" t="n"/>
      <c r="Q298" s="14">
        <f>IF(P298="","",TODAY()-P298)</f>
        <v/>
      </c>
      <c r="R298" s="12" t="n"/>
      <c r="S298" s="17" t="n"/>
      <c r="T298" s="12" t="n"/>
      <c r="U298" s="12" t="n"/>
      <c r="V298" s="12" t="n"/>
      <c r="W298" s="15" t="n"/>
      <c r="X298" s="12" t="n"/>
      <c r="Y298" s="12" t="n"/>
    </row>
    <row r="299">
      <c r="A299" s="11">
        <f>IF(B299="","",ROW()-7)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7" t="n"/>
      <c r="J299" s="17" t="n"/>
      <c r="K299" s="12" t="n"/>
      <c r="L299" s="12" t="n"/>
      <c r="M299" s="12" t="n"/>
      <c r="N299" s="12" t="n"/>
      <c r="O299" s="12" t="n"/>
      <c r="P299" s="17" t="n"/>
      <c r="Q299" s="14">
        <f>IF(P299="","",TODAY()-P299)</f>
        <v/>
      </c>
      <c r="R299" s="12" t="n"/>
      <c r="S299" s="17" t="n"/>
      <c r="T299" s="12" t="n"/>
      <c r="U299" s="12" t="n"/>
      <c r="V299" s="12" t="n"/>
      <c r="W299" s="15" t="n"/>
      <c r="X299" s="12" t="n"/>
      <c r="Y299" s="12" t="n"/>
    </row>
    <row r="300">
      <c r="A300" s="11">
        <f>IF(B300="","",ROW()-7)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7" t="n"/>
      <c r="J300" s="17" t="n"/>
      <c r="K300" s="12" t="n"/>
      <c r="L300" s="12" t="n"/>
      <c r="M300" s="12" t="n"/>
      <c r="N300" s="12" t="n"/>
      <c r="O300" s="12" t="n"/>
      <c r="P300" s="17" t="n"/>
      <c r="Q300" s="14">
        <f>IF(P300="","",TODAY()-P300)</f>
        <v/>
      </c>
      <c r="R300" s="12" t="n"/>
      <c r="S300" s="17" t="n"/>
      <c r="T300" s="12" t="n"/>
      <c r="U300" s="12" t="n"/>
      <c r="V300" s="12" t="n"/>
      <c r="W300" s="15" t="n"/>
      <c r="X300" s="12" t="n"/>
      <c r="Y300" s="12" t="n"/>
    </row>
    <row r="301">
      <c r="A301" s="11">
        <f>IF(B301="","",ROW()-7)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7" t="n"/>
      <c r="J301" s="17" t="n"/>
      <c r="K301" s="12" t="n"/>
      <c r="L301" s="12" t="n"/>
      <c r="M301" s="12" t="n"/>
      <c r="N301" s="12" t="n"/>
      <c r="O301" s="12" t="n"/>
      <c r="P301" s="17" t="n"/>
      <c r="Q301" s="14">
        <f>IF(P301="","",TODAY()-P301)</f>
        <v/>
      </c>
      <c r="R301" s="12" t="n"/>
      <c r="S301" s="17" t="n"/>
      <c r="T301" s="12" t="n"/>
      <c r="U301" s="12" t="n"/>
      <c r="V301" s="12" t="n"/>
      <c r="W301" s="15" t="n"/>
      <c r="X301" s="12" t="n"/>
      <c r="Y301" s="12" t="n"/>
    </row>
    <row r="302">
      <c r="A302" s="11">
        <f>IF(B302="","",ROW()-7)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7" t="n"/>
      <c r="J302" s="17" t="n"/>
      <c r="K302" s="12" t="n"/>
      <c r="L302" s="12" t="n"/>
      <c r="M302" s="12" t="n"/>
      <c r="N302" s="12" t="n"/>
      <c r="O302" s="12" t="n"/>
      <c r="P302" s="17" t="n"/>
      <c r="Q302" s="14">
        <f>IF(P302="","",TODAY()-P302)</f>
        <v/>
      </c>
      <c r="R302" s="12" t="n"/>
      <c r="S302" s="17" t="n"/>
      <c r="T302" s="12" t="n"/>
      <c r="U302" s="12" t="n"/>
      <c r="V302" s="12" t="n"/>
      <c r="W302" s="15" t="n"/>
      <c r="X302" s="12" t="n"/>
      <c r="Y302" s="12" t="n"/>
    </row>
    <row r="303">
      <c r="A303" s="11">
        <f>IF(B303="","",ROW()-7)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7" t="n"/>
      <c r="J303" s="17" t="n"/>
      <c r="K303" s="12" t="n"/>
      <c r="L303" s="12" t="n"/>
      <c r="M303" s="12" t="n"/>
      <c r="N303" s="12" t="n"/>
      <c r="O303" s="12" t="n"/>
      <c r="P303" s="17" t="n"/>
      <c r="Q303" s="14">
        <f>IF(P303="","",TODAY()-P303)</f>
        <v/>
      </c>
      <c r="R303" s="12" t="n"/>
      <c r="S303" s="17" t="n"/>
      <c r="T303" s="12" t="n"/>
      <c r="U303" s="12" t="n"/>
      <c r="V303" s="12" t="n"/>
      <c r="W303" s="15" t="n"/>
      <c r="X303" s="12" t="n"/>
      <c r="Y303" s="12" t="n"/>
    </row>
    <row r="304">
      <c r="A304" s="11">
        <f>IF(B304="","",ROW()-7)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7" t="n"/>
      <c r="J304" s="17" t="n"/>
      <c r="K304" s="12" t="n"/>
      <c r="L304" s="12" t="n"/>
      <c r="M304" s="12" t="n"/>
      <c r="N304" s="12" t="n"/>
      <c r="O304" s="12" t="n"/>
      <c r="P304" s="17" t="n"/>
      <c r="Q304" s="14">
        <f>IF(P304="","",TODAY()-P304)</f>
        <v/>
      </c>
      <c r="R304" s="12" t="n"/>
      <c r="S304" s="17" t="n"/>
      <c r="T304" s="12" t="n"/>
      <c r="U304" s="12" t="n"/>
      <c r="V304" s="12" t="n"/>
      <c r="W304" s="15" t="n"/>
      <c r="X304" s="12" t="n"/>
      <c r="Y304" s="12" t="n"/>
    </row>
    <row r="305">
      <c r="A305" s="11">
        <f>IF(B305="","",ROW()-7)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7" t="n"/>
      <c r="J305" s="17" t="n"/>
      <c r="K305" s="12" t="n"/>
      <c r="L305" s="12" t="n"/>
      <c r="M305" s="12" t="n"/>
      <c r="N305" s="12" t="n"/>
      <c r="O305" s="12" t="n"/>
      <c r="P305" s="17" t="n"/>
      <c r="Q305" s="14">
        <f>IF(P305="","",TODAY()-P305)</f>
        <v/>
      </c>
      <c r="R305" s="12" t="n"/>
      <c r="S305" s="17" t="n"/>
      <c r="T305" s="12" t="n"/>
      <c r="U305" s="12" t="n"/>
      <c r="V305" s="12" t="n"/>
      <c r="W305" s="15" t="n"/>
      <c r="X305" s="12" t="n"/>
      <c r="Y305" s="12" t="n"/>
    </row>
    <row r="306">
      <c r="A306" s="11">
        <f>IF(B306="","",ROW()-7)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7" t="n"/>
      <c r="J306" s="17" t="n"/>
      <c r="K306" s="12" t="n"/>
      <c r="L306" s="12" t="n"/>
      <c r="M306" s="12" t="n"/>
      <c r="N306" s="12" t="n"/>
      <c r="O306" s="12" t="n"/>
      <c r="P306" s="17" t="n"/>
      <c r="Q306" s="14">
        <f>IF(P306="","",TODAY()-P306)</f>
        <v/>
      </c>
      <c r="R306" s="12" t="n"/>
      <c r="S306" s="17" t="n"/>
      <c r="T306" s="12" t="n"/>
      <c r="U306" s="12" t="n"/>
      <c r="V306" s="12" t="n"/>
      <c r="W306" s="15" t="n"/>
      <c r="X306" s="12" t="n"/>
      <c r="Y306" s="12" t="n"/>
    </row>
    <row r="307">
      <c r="A307" s="11">
        <f>IF(B307="","",ROW()-7)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7" t="n"/>
      <c r="J307" s="17" t="n"/>
      <c r="K307" s="12" t="n"/>
      <c r="L307" s="12" t="n"/>
      <c r="M307" s="12" t="n"/>
      <c r="N307" s="12" t="n"/>
      <c r="O307" s="12" t="n"/>
      <c r="P307" s="17" t="n"/>
      <c r="Q307" s="14">
        <f>IF(P307="","",TODAY()-P307)</f>
        <v/>
      </c>
      <c r="R307" s="12" t="n"/>
      <c r="S307" s="17" t="n"/>
      <c r="T307" s="12" t="n"/>
      <c r="U307" s="12" t="n"/>
      <c r="V307" s="12" t="n"/>
      <c r="W307" s="15" t="n"/>
      <c r="X307" s="12" t="n"/>
      <c r="Y307" s="12" t="n"/>
    </row>
  </sheetData>
  <mergeCells count="2">
    <mergeCell ref="A2:Y2"/>
    <mergeCell ref="A1:Y1"/>
  </mergeCells>
  <conditionalFormatting sqref="N8:N307">
    <cfRule type="expression" priority="5" dxfId="0">
      <formula>N8="P1"</formula>
    </cfRule>
    <cfRule type="expression" priority="6" dxfId="1">
      <formula>N8="P2"</formula>
    </cfRule>
    <cfRule type="expression" priority="7" dxfId="2">
      <formula>N8="P3"</formula>
    </cfRule>
  </conditionalFormatting>
  <conditionalFormatting sqref="O8:O307">
    <cfRule type="expression" priority="1" dxfId="2">
      <formula>O8="Offer"</formula>
    </cfRule>
    <cfRule type="expression" priority="2" dxfId="3">
      <formula>O8="已拒"</formula>
    </cfRule>
    <cfRule type="expression" priority="3" dxfId="1">
      <formula>O8="无回复"</formula>
    </cfRule>
    <cfRule type="expression" priority="4" dxfId="4">
      <formula>O8="待投递"</formula>
    </cfRule>
  </conditionalFormatting>
  <conditionalFormatting sqref="Q8:Q307">
    <cfRule type="cellIs" priority="9" operator="greaterThan" dxfId="1">
      <formula>7</formula>
    </cfRule>
  </conditionalFormatting>
  <conditionalFormatting sqref="S8:S307">
    <cfRule type="expression" priority="8" dxfId="6">
      <formula>AND(S8&lt;&gt;"",S8&gt;=TODAY(),S8&lt;=TODAY()+7)</formula>
    </cfRule>
  </conditionalFormatting>
  <dataValidations count="11">
    <dataValidation sqref="D8:D307" showDropDown="0" showInputMessage="0" showErrorMessage="0" allowBlank="0" error="请输入下拉列表中的有效值" prompt="请从下拉中选择" type="list">
      <formula1>Options!$A$2:$A$6</formula1>
    </dataValidation>
    <dataValidation sqref="E8:E307" showDropDown="0" showInputMessage="0" showErrorMessage="0" allowBlank="0" error="请输入下拉列表中的有效值" prompt="请从下拉中选择" type="list">
      <formula1>Options!$B$2:$B$4</formula1>
    </dataValidation>
    <dataValidation sqref="H8:H307" showDropDown="0" showInputMessage="0" showErrorMessage="0" allowBlank="0" error="请输入下拉列表中的有效值" prompt="请从下拉中选择" type="list">
      <formula1>Options!$C$2:$C$9</formula1>
    </dataValidation>
    <dataValidation sqref="K8:K307" showDropDown="0" showInputMessage="0" showErrorMessage="0" allowBlank="0" error="请输入下拉列表中的有效值" prompt="请从下拉中选择" type="list">
      <formula1>Options!$D$2:$D$5</formula1>
    </dataValidation>
    <dataValidation sqref="L8:L307" showDropDown="0" showInputMessage="0" showErrorMessage="0" allowBlank="0" error="请输入下拉列表中的有效值" prompt="请从下拉中选择" type="list">
      <formula1>Options!$E$2:$E$3</formula1>
    </dataValidation>
    <dataValidation sqref="M8:M307" showDropDown="0" showInputMessage="0" showErrorMessage="0" allowBlank="0" error="请输入下拉列表中的有效值" prompt="请从下拉中选择" type="list">
      <formula1>Options!$F$2:$F$4</formula1>
    </dataValidation>
    <dataValidation sqref="N8:N307" showDropDown="0" showInputMessage="0" showErrorMessage="0" allowBlank="0" error="请输入下拉列表中的有效值" prompt="请从下拉中选择" type="list">
      <formula1>Options!$G$2:$G$4</formula1>
    </dataValidation>
    <dataValidation sqref="O8:O307" showDropDown="0" showInputMessage="0" showErrorMessage="0" allowBlank="0" error="请输入下拉列表中的有效值" prompt="请从下拉中选择" type="list">
      <formula1>Options!$H$2:$H$12</formula1>
    </dataValidation>
    <dataValidation sqref="T8:T307" showDropDown="0" showInputMessage="0" showErrorMessage="0" allowBlank="0" error="请输入下拉列表中的有效值" prompt="请从下拉中选择" type="list">
      <formula1>Options!$K$2:$K$6</formula1>
    </dataValidation>
    <dataValidation sqref="U8:U307" showDropDown="0" showInputMessage="0" showErrorMessage="0" allowBlank="0" error="请输入下拉列表中的有效值" prompt="请从下拉中选择" type="list">
      <formula1>Options!$I$2:$I$6</formula1>
    </dataValidation>
    <dataValidation sqref="W8:W307" showDropDown="0" showInputMessage="0" showErrorMessage="0" allowBlank="0" error="请输入下拉列表中的有效值" prompt="请从下拉中选择" type="list">
      <formula1>Options!$J$2:$J$6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K12"/>
  <sheetViews>
    <sheetView workbookViewId="0">
      <selection activeCell="C10" sqref="C10"/>
    </sheetView>
  </sheetViews>
  <sheetFormatPr baseColWidth="8" defaultColWidth="9" defaultRowHeight="14.5"/>
  <cols>
    <col width="18" customWidth="1" style="16" min="1" max="11"/>
  </cols>
  <sheetData>
    <row r="1">
      <c r="A1" s="2" t="inlineStr">
        <is>
          <t>岗位类别</t>
        </is>
      </c>
      <c r="B1" s="2" t="inlineStr">
        <is>
          <t>方向</t>
        </is>
      </c>
      <c r="C1" s="2" t="inlineStr">
        <is>
          <t>来源渠道</t>
        </is>
      </c>
      <c r="D1" s="2" t="inlineStr">
        <is>
          <t>简历版本</t>
        </is>
      </c>
      <c r="E1" s="2" t="inlineStr">
        <is>
          <t>是否定制</t>
        </is>
      </c>
      <c r="F1" s="2" t="inlineStr">
        <is>
          <t>关键词命中度</t>
        </is>
      </c>
      <c r="G1" s="2" t="inlineStr">
        <is>
          <t>优先级</t>
        </is>
      </c>
      <c r="H1" s="2" t="inlineStr">
        <is>
          <t>当前状态</t>
        </is>
      </c>
      <c r="I1" s="2" t="inlineStr">
        <is>
          <t>笔试情况</t>
        </is>
      </c>
      <c r="J1" s="2" t="inlineStr">
        <is>
          <t>匹配度</t>
        </is>
      </c>
      <c r="K1" s="2" t="inlineStr">
        <is>
          <t>面试轮次</t>
        </is>
      </c>
    </row>
    <row r="2">
      <c r="A2" s="0" t="inlineStr">
        <is>
          <t>AI Agent 开发实习</t>
        </is>
      </c>
      <c r="B2" s="0" t="inlineStr">
        <is>
          <t>开发</t>
        </is>
      </c>
      <c r="C2" s="0" t="inlineStr">
        <is>
          <t>Boss直聘</t>
        </is>
      </c>
      <c r="D2" s="0" t="inlineStr">
        <is>
          <t>开发版</t>
        </is>
      </c>
      <c r="E2" s="0" t="inlineStr">
        <is>
          <t>是</t>
        </is>
      </c>
      <c r="F2" s="0" t="inlineStr">
        <is>
          <t>高</t>
        </is>
      </c>
      <c r="G2" s="0" t="inlineStr">
        <is>
          <t>P1</t>
        </is>
      </c>
      <c r="H2" s="0" t="inlineStr">
        <is>
          <t>待投递</t>
        </is>
      </c>
      <c r="I2" s="0" t="inlineStr">
        <is>
          <t>未开始</t>
        </is>
      </c>
      <c r="J2" s="0" t="n">
        <v>1</v>
      </c>
      <c r="K2" s="0" t="inlineStr">
        <is>
          <t>0</t>
        </is>
      </c>
    </row>
    <row r="3">
      <c r="A3" s="0" t="inlineStr">
        <is>
          <t>AI 应用开发实习</t>
        </is>
      </c>
      <c r="B3" s="0" t="inlineStr">
        <is>
          <t>产品</t>
        </is>
      </c>
      <c r="C3" s="0" t="inlineStr">
        <is>
          <t>实习僧</t>
        </is>
      </c>
      <c r="D3" s="0" t="inlineStr">
        <is>
          <t>产品版</t>
        </is>
      </c>
      <c r="E3" s="0" t="inlineStr">
        <is>
          <t>否</t>
        </is>
      </c>
      <c r="F3" s="0" t="inlineStr">
        <is>
          <t>中</t>
        </is>
      </c>
      <c r="G3" s="0" t="inlineStr">
        <is>
          <t>P2</t>
        </is>
      </c>
      <c r="H3" s="0" t="inlineStr">
        <is>
          <t>已投递</t>
        </is>
      </c>
      <c r="I3" s="0" t="inlineStr">
        <is>
          <t>已完成</t>
        </is>
      </c>
      <c r="J3" s="0" t="n">
        <v>2</v>
      </c>
      <c r="K3" s="0" t="inlineStr">
        <is>
          <t>1</t>
        </is>
      </c>
    </row>
    <row r="4">
      <c r="A4" s="0" t="inlineStr">
        <is>
          <t>AI 产品经理实习</t>
        </is>
      </c>
      <c r="B4" s="0" t="inlineStr">
        <is>
          <t>双向皆可</t>
        </is>
      </c>
      <c r="C4" s="0" t="inlineStr">
        <is>
          <t>猎聘</t>
        </is>
      </c>
      <c r="D4" s="0" t="inlineStr">
        <is>
          <t>通用版</t>
        </is>
      </c>
      <c r="F4" s="0" t="inlineStr">
        <is>
          <t>低</t>
        </is>
      </c>
      <c r="G4" s="0" t="inlineStr">
        <is>
          <t>P3</t>
        </is>
      </c>
      <c r="H4" s="0" t="inlineStr">
        <is>
          <t>笔试中</t>
        </is>
      </c>
      <c r="I4" s="0" t="inlineStr">
        <is>
          <t>通过</t>
        </is>
      </c>
      <c r="J4" s="0" t="n">
        <v>3</v>
      </c>
      <c r="K4" s="0" t="inlineStr">
        <is>
          <t>2</t>
        </is>
      </c>
    </row>
    <row r="5">
      <c r="A5" s="0" t="inlineStr">
        <is>
          <t>技术产品实习</t>
        </is>
      </c>
      <c r="C5" s="0" t="inlineStr">
        <is>
          <t>官网</t>
        </is>
      </c>
      <c r="D5" s="0" t="inlineStr">
        <is>
          <t>待重写</t>
        </is>
      </c>
      <c r="H5" s="0" t="inlineStr">
        <is>
          <t>一面</t>
        </is>
      </c>
      <c r="I5" s="0" t="inlineStr">
        <is>
          <t>未通过</t>
        </is>
      </c>
      <c r="J5" s="0" t="n">
        <v>4</v>
      </c>
      <c r="K5" s="0" t="inlineStr">
        <is>
          <t>3</t>
        </is>
      </c>
    </row>
    <row r="6">
      <c r="A6" s="0" t="inlineStr">
        <is>
          <t>其他</t>
        </is>
      </c>
      <c r="C6" s="0" t="inlineStr">
        <is>
          <t>公众号</t>
        </is>
      </c>
      <c r="H6" s="0" t="inlineStr">
        <is>
          <t>二面</t>
        </is>
      </c>
      <c r="I6" s="0" t="inlineStr">
        <is>
          <t>不涉及</t>
        </is>
      </c>
      <c r="J6" s="0" t="n">
        <v>5</v>
      </c>
      <c r="K6" s="0" t="inlineStr">
        <is>
          <t>4+</t>
        </is>
      </c>
    </row>
    <row r="7">
      <c r="C7" s="0" t="inlineStr">
        <is>
          <t>内推</t>
        </is>
      </c>
      <c r="H7" s="0" t="inlineStr">
        <is>
          <t>三面+</t>
        </is>
      </c>
    </row>
    <row r="8">
      <c r="C8" s="0" t="inlineStr">
        <is>
          <t>学长学姐</t>
        </is>
      </c>
      <c r="H8" s="0" t="inlineStr">
        <is>
          <t>HR面</t>
        </is>
      </c>
    </row>
    <row r="9">
      <c r="C9" s="0" t="inlineStr">
        <is>
          <t>其他</t>
        </is>
      </c>
      <c r="H9" s="0" t="inlineStr">
        <is>
          <t>Offer</t>
        </is>
      </c>
    </row>
    <row r="10">
      <c r="H10" s="0" t="inlineStr">
        <is>
          <t>已拒</t>
        </is>
      </c>
    </row>
    <row r="11">
      <c r="H11" s="0" t="inlineStr">
        <is>
          <t>无回复</t>
        </is>
      </c>
    </row>
    <row r="12">
      <c r="H12" s="0" t="inlineStr">
        <is>
          <t>人才库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F81BD"/>
    <outlinePr summaryBelow="1" summaryRight="1"/>
    <pageSetUpPr/>
  </sheetPr>
  <dimension ref="A1:H21"/>
  <sheetViews>
    <sheetView workbookViewId="0">
      <selection activeCell="C30" sqref="C30"/>
    </sheetView>
  </sheetViews>
  <sheetFormatPr baseColWidth="8" defaultColWidth="9" defaultRowHeight="14.5"/>
  <cols>
    <col width="16" customWidth="1" style="16" min="1" max="8"/>
  </cols>
  <sheetData>
    <row r="1" ht="24" customHeight="1" s="16">
      <c r="A1" s="1" t="inlineStr">
        <is>
          <t>数据概览（自动统计）</t>
        </is>
      </c>
    </row>
    <row r="2" ht="15.25" customHeight="1" s="16"/>
    <row r="3" ht="15.5" customHeight="1" s="16">
      <c r="A3" s="4" t="inlineStr">
        <is>
          <t>总岗位数</t>
        </is>
      </c>
      <c r="B3" s="5">
        <f>COUNTA(JobBoard!B8:B307)</f>
        <v/>
      </c>
      <c r="C3" s="4" t="inlineStr">
        <is>
          <t>待投递</t>
        </is>
      </c>
      <c r="D3" s="5">
        <f>COUNTIF(JobBoard!O8:O307,"待投递")</f>
        <v/>
      </c>
      <c r="E3" s="4" t="inlineStr">
        <is>
          <t>进行中</t>
        </is>
      </c>
      <c r="F3" s="5">
        <f>COUNTIF(JobBoard!O8:O307,"已投递")+COUNTIF(JobBoard!O8:O307,"笔试中")+COUNTIF(JobBoard!O8:O307,"一面")+COUNTIF(JobBoard!O8:O307,"二面")+COUNTIF(JobBoard!O8:O307,"三面+")+COUNTIF(JobBoard!O8:O307,"HR面")+COUNTIF(JobBoard!O8:O307,"无回复")+COUNTIF(JobBoard!O8:O307,"人才库")</f>
        <v/>
      </c>
      <c r="G3" s="4" t="inlineStr">
        <is>
          <t>Offer</t>
        </is>
      </c>
      <c r="H3" s="5">
        <f>COUNTIF(JobBoard!O8:O307,"Offer")</f>
        <v/>
      </c>
    </row>
    <row r="7">
      <c r="A7" s="6" t="inlineStr">
        <is>
          <t>按状态统计</t>
        </is>
      </c>
      <c r="B7" s="3" t="n"/>
      <c r="C7" s="3" t="n"/>
      <c r="D7" s="6" t="inlineStr">
        <is>
          <t>按方向统计</t>
        </is>
      </c>
      <c r="E7" s="3" t="n"/>
      <c r="F7" s="3" t="n"/>
      <c r="G7" s="6" t="inlineStr">
        <is>
          <t>按来源渠道统计</t>
        </is>
      </c>
      <c r="H7" s="3" t="n"/>
    </row>
    <row r="8">
      <c r="A8" s="3" t="inlineStr">
        <is>
          <t>待投递</t>
        </is>
      </c>
      <c r="B8" s="3">
        <f>COUNTIF(JobBoard!$O$8:$O$307,A8)</f>
        <v/>
      </c>
      <c r="C8" s="3" t="n"/>
      <c r="D8" s="3" t="inlineStr">
        <is>
          <t>开发</t>
        </is>
      </c>
      <c r="E8" s="3">
        <f>COUNTIF(JobBoard!$E$8:$E$307,D8)</f>
        <v/>
      </c>
      <c r="F8" s="3" t="n"/>
      <c r="G8" s="3" t="inlineStr">
        <is>
          <t>Boss直聘</t>
        </is>
      </c>
      <c r="H8" s="3">
        <f>COUNTIF(JobBoard!$H$8:$H$307,G8)</f>
        <v/>
      </c>
    </row>
    <row r="9">
      <c r="A9" s="3" t="inlineStr">
        <is>
          <t>已投递</t>
        </is>
      </c>
      <c r="B9" s="3">
        <f>COUNTIF(JobBoard!$O$8:$O$307,A9)</f>
        <v/>
      </c>
      <c r="C9" s="3" t="n"/>
      <c r="D9" s="3" t="inlineStr">
        <is>
          <t>产品</t>
        </is>
      </c>
      <c r="E9" s="3">
        <f>COUNTIF(JobBoard!$E$8:$E$307,D9)</f>
        <v/>
      </c>
      <c r="F9" s="3" t="n"/>
      <c r="G9" s="3" t="inlineStr">
        <is>
          <t>实习僧</t>
        </is>
      </c>
      <c r="H9" s="3">
        <f>COUNTIF(JobBoard!$H$8:$H$307,G9)</f>
        <v/>
      </c>
    </row>
    <row r="10">
      <c r="A10" s="3" t="inlineStr">
        <is>
          <t>笔试中</t>
        </is>
      </c>
      <c r="B10" s="3">
        <f>COUNTIF(JobBoard!$O$8:$O$307,A10)</f>
        <v/>
      </c>
      <c r="C10" s="3" t="n"/>
      <c r="D10" s="3" t="inlineStr">
        <is>
          <t>双向皆可</t>
        </is>
      </c>
      <c r="E10" s="3">
        <f>COUNTIF(JobBoard!$E$8:$E$307,D10)</f>
        <v/>
      </c>
      <c r="F10" s="3" t="n"/>
      <c r="G10" s="3" t="inlineStr">
        <is>
          <t>猎聘</t>
        </is>
      </c>
      <c r="H10" s="3">
        <f>COUNTIF(JobBoard!$H$8:$H$307,G10)</f>
        <v/>
      </c>
    </row>
    <row r="11">
      <c r="A11" s="3" t="inlineStr">
        <is>
          <t>一面</t>
        </is>
      </c>
      <c r="B11" s="3">
        <f>COUNTIF(JobBoard!$O$8:$O$307,A11)</f>
        <v/>
      </c>
      <c r="C11" s="3" t="n"/>
      <c r="D11" s="3" t="n"/>
      <c r="E11" s="3" t="n"/>
      <c r="F11" s="3" t="n"/>
      <c r="G11" s="3" t="inlineStr">
        <is>
          <t>官网</t>
        </is>
      </c>
      <c r="H11" s="3">
        <f>COUNTIF(JobBoard!$H$8:$H$307,G11)</f>
        <v/>
      </c>
    </row>
    <row r="12">
      <c r="A12" s="3" t="inlineStr">
        <is>
          <t>二面</t>
        </is>
      </c>
      <c r="B12" s="3">
        <f>COUNTIF(JobBoard!$O$8:$O$307,A12)</f>
        <v/>
      </c>
      <c r="C12" s="3" t="n"/>
      <c r="D12" s="3" t="n"/>
      <c r="E12" s="3" t="n"/>
      <c r="F12" s="3" t="n"/>
      <c r="G12" s="3" t="inlineStr">
        <is>
          <t>公众号</t>
        </is>
      </c>
      <c r="H12" s="3">
        <f>COUNTIF(JobBoard!$H$8:$H$307,G12)</f>
        <v/>
      </c>
    </row>
    <row r="13">
      <c r="A13" s="3" t="inlineStr">
        <is>
          <t>三面+</t>
        </is>
      </c>
      <c r="B13" s="3">
        <f>COUNTIF(JobBoard!$O$8:$O$307,A13)</f>
        <v/>
      </c>
      <c r="C13" s="3" t="n"/>
      <c r="D13" s="3" t="n"/>
      <c r="E13" s="3" t="n"/>
      <c r="F13" s="3" t="n"/>
      <c r="G13" s="3" t="inlineStr">
        <is>
          <t>内推</t>
        </is>
      </c>
      <c r="H13" s="3">
        <f>COUNTIF(JobBoard!$H$8:$H$307,G13)</f>
        <v/>
      </c>
    </row>
    <row r="14">
      <c r="A14" s="3" t="inlineStr">
        <is>
          <t>HR面</t>
        </is>
      </c>
      <c r="B14" s="3">
        <f>COUNTIF(JobBoard!$O$8:$O$307,A14)</f>
        <v/>
      </c>
      <c r="C14" s="3" t="n"/>
      <c r="D14" s="3" t="n"/>
      <c r="E14" s="3" t="n"/>
      <c r="F14" s="3" t="n"/>
      <c r="G14" s="3" t="inlineStr">
        <is>
          <t>学长学姐</t>
        </is>
      </c>
      <c r="H14" s="3">
        <f>COUNTIF(JobBoard!$H$8:$H$307,G14)</f>
        <v/>
      </c>
    </row>
    <row r="15">
      <c r="A15" s="3" t="inlineStr">
        <is>
          <t>Offer</t>
        </is>
      </c>
      <c r="B15" s="3">
        <f>COUNTIF(JobBoard!$O$8:$O$307,A15)</f>
        <v/>
      </c>
      <c r="C15" s="3" t="n"/>
      <c r="D15" s="3" t="n"/>
      <c r="E15" s="3" t="n"/>
      <c r="F15" s="3" t="n"/>
      <c r="G15" s="3" t="inlineStr">
        <is>
          <t>其他</t>
        </is>
      </c>
      <c r="H15" s="3">
        <f>COUNTIF(JobBoard!$H$8:$H$307,G15)</f>
        <v/>
      </c>
    </row>
    <row r="16">
      <c r="A16" s="3" t="inlineStr">
        <is>
          <t>已拒</t>
        </is>
      </c>
      <c r="B16" s="3">
        <f>COUNTIF(JobBoard!$O$8:$O$307,A16)</f>
        <v/>
      </c>
      <c r="C16" s="3" t="n"/>
      <c r="D16" s="3" t="n"/>
      <c r="E16" s="3" t="n"/>
      <c r="F16" s="3" t="n"/>
      <c r="G16" s="3" t="n"/>
      <c r="H16" s="3" t="n"/>
    </row>
    <row r="17">
      <c r="A17" s="3" t="inlineStr">
        <is>
          <t>无回复</t>
        </is>
      </c>
      <c r="B17" s="3">
        <f>COUNTIF(JobBoard!$O$8:$O$307,A17)</f>
        <v/>
      </c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人才库</t>
        </is>
      </c>
      <c r="B18" s="3">
        <f>COUNTIF(JobBoard!$O$8:$O$307,A18)</f>
        <v/>
      </c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8.5" customHeight="1" s="16">
      <c r="A21" s="6" t="inlineStr">
        <is>
          <t>高优先级（P1）岗位</t>
        </is>
      </c>
      <c r="B21" s="3">
        <f>COUNTIF(JobBoard!$N$8:$N$307,"P1")</f>
        <v/>
      </c>
      <c r="C21" s="3" t="n"/>
      <c r="D21" s="6" t="inlineStr">
        <is>
          <t>本周待跟进</t>
        </is>
      </c>
      <c r="E21" s="3">
        <f>COUNTIFS(JobBoard!$S$8:$S$307,"&gt;="&amp;TODAY(),JobBoard!$S$8:$S$307,"&lt;="&amp;TODAY()+7)</f>
        <v/>
      </c>
      <c r="F21" s="3" t="n"/>
      <c r="G21" s="6" t="inlineStr">
        <is>
          <t>平均匹配度</t>
        </is>
      </c>
      <c r="H21" s="3">
        <f>IFERROR(AVERAGE(JobBoard!$W$8:$W$307),"")</f>
        <v/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1:D17"/>
  <sheetViews>
    <sheetView workbookViewId="0">
      <selection activeCell="A1" sqref="A1:D1"/>
    </sheetView>
  </sheetViews>
  <sheetFormatPr baseColWidth="8" defaultColWidth="9" defaultRowHeight="14.5"/>
  <cols>
    <col width="18" customWidth="1" style="16" min="1" max="1"/>
    <col width="24" customWidth="1" style="16" min="2" max="2"/>
    <col width="48" customWidth="1" style="16" min="3" max="3"/>
    <col width="24" customWidth="1" style="16" min="4" max="4"/>
  </cols>
  <sheetData>
    <row r="1" ht="18.5" customHeight="1" s="16">
      <c r="A1" s="1" t="inlineStr">
        <is>
          <t>求职看板使用说明</t>
        </is>
      </c>
    </row>
    <row r="3">
      <c r="A3" s="2" t="inlineStr">
        <is>
          <t>字段</t>
        </is>
      </c>
      <c r="B3" s="2" t="inlineStr">
        <is>
          <t>是否必填</t>
        </is>
      </c>
      <c r="C3" s="2" t="inlineStr">
        <is>
          <t>怎么填</t>
        </is>
      </c>
      <c r="D3" s="2" t="inlineStr">
        <is>
          <t>备注</t>
        </is>
      </c>
    </row>
    <row r="4">
      <c r="A4" s="3" t="inlineStr">
        <is>
          <t>公司</t>
        </is>
      </c>
      <c r="B4" s="3" t="inlineStr">
        <is>
          <t>是</t>
        </is>
      </c>
      <c r="C4" s="3" t="inlineStr">
        <is>
          <t>填写公司全名或常用简称。</t>
        </is>
      </c>
      <c r="D4" s="3" t="inlineStr">
        <is>
          <t>建议和 JD 链接一起保存。</t>
        </is>
      </c>
    </row>
    <row r="5" ht="28.5" customHeight="1" s="16">
      <c r="A5" s="3" t="inlineStr">
        <is>
          <t>岗位名称</t>
        </is>
      </c>
      <c r="B5" s="3" t="inlineStr">
        <is>
          <t>是</t>
        </is>
      </c>
      <c r="C5" s="3" t="inlineStr">
        <is>
          <t>尽量写全名，便于后续搜索。</t>
        </is>
      </c>
      <c r="D5" s="3" t="inlineStr">
        <is>
          <t>例如“AI Agent 开发实习生”。</t>
        </is>
      </c>
    </row>
    <row r="6">
      <c r="A6" s="3" t="inlineStr">
        <is>
          <t>岗位类别</t>
        </is>
      </c>
      <c r="B6" s="3" t="inlineStr">
        <is>
          <t>是</t>
        </is>
      </c>
      <c r="C6" s="3" t="inlineStr">
        <is>
          <t>统一用三类：AI Agent 开发 / AI 产品经理 / 技术产品。</t>
        </is>
      </c>
      <c r="D6" s="3" t="inlineStr">
        <is>
          <t>便于统计方向。</t>
        </is>
      </c>
    </row>
    <row r="7">
      <c r="A7" s="3" t="inlineStr">
        <is>
          <t>方向</t>
        </is>
      </c>
      <c r="B7" s="3" t="inlineStr">
        <is>
          <t>是</t>
        </is>
      </c>
      <c r="C7" s="3" t="inlineStr">
        <is>
          <t>开发 / 产品 / 双向皆可。</t>
        </is>
      </c>
      <c r="D7" s="3" t="inlineStr">
        <is>
          <t>用于双线求职区分。</t>
        </is>
      </c>
    </row>
    <row r="8">
      <c r="A8" s="3" t="inlineStr">
        <is>
          <t>JD链接</t>
        </is>
      </c>
      <c r="B8" s="3" t="inlineStr">
        <is>
          <t>建议</t>
        </is>
      </c>
      <c r="C8" s="3" t="inlineStr">
        <is>
          <t>粘贴职位页面链接。</t>
        </is>
      </c>
      <c r="D8" s="3" t="inlineStr">
        <is>
          <t>后续复盘最有用。</t>
        </is>
      </c>
    </row>
    <row r="9">
      <c r="A9" s="3" t="inlineStr">
        <is>
          <t>简历版本</t>
        </is>
      </c>
      <c r="B9" s="3" t="inlineStr">
        <is>
          <t>建议</t>
        </is>
      </c>
      <c r="C9" s="3" t="inlineStr">
        <is>
          <t>开发版 / 产品版 / 通用版。</t>
        </is>
      </c>
      <c r="D9" s="3" t="inlineStr">
        <is>
          <t>追踪哪版命中更高。</t>
        </is>
      </c>
    </row>
    <row r="10">
      <c r="A10" s="3" t="inlineStr">
        <is>
          <t>关键词命中度</t>
        </is>
      </c>
      <c r="B10" s="3" t="inlineStr">
        <is>
          <t>建议</t>
        </is>
      </c>
      <c r="C10" s="3" t="inlineStr">
        <is>
          <t>主观判断高/中/低。</t>
        </is>
      </c>
      <c r="D10" s="3" t="inlineStr">
        <is>
          <t>看你的简历是否对上 JD。</t>
        </is>
      </c>
    </row>
    <row r="11">
      <c r="A11" s="3" t="inlineStr">
        <is>
          <t>优先级</t>
        </is>
      </c>
      <c r="B11" s="3" t="inlineStr">
        <is>
          <t>是</t>
        </is>
      </c>
      <c r="C11" s="3" t="inlineStr">
        <is>
          <t>P1 / P2 / P3。</t>
        </is>
      </c>
      <c r="D11" s="3" t="inlineStr">
        <is>
          <t>P1 优先投和优先跟。</t>
        </is>
      </c>
    </row>
    <row r="12">
      <c r="A12" s="3" t="inlineStr">
        <is>
          <t>当前状态</t>
        </is>
      </c>
      <c r="B12" s="3" t="inlineStr">
        <is>
          <t>是</t>
        </is>
      </c>
      <c r="C12" s="3" t="inlineStr">
        <is>
          <t>尽量每次更新后都改。</t>
        </is>
      </c>
      <c r="D12" s="3" t="inlineStr">
        <is>
          <t>统计表依赖这一列。</t>
        </is>
      </c>
    </row>
    <row r="13">
      <c r="A13" s="3" t="inlineStr">
        <is>
          <t>最新进展日期</t>
        </is>
      </c>
      <c r="B13" s="3" t="inlineStr">
        <is>
          <t>建议</t>
        </is>
      </c>
      <c r="C13" s="3" t="inlineStr">
        <is>
          <t>收到笔试/约面/拒信就更新。</t>
        </is>
      </c>
      <c r="D13" s="3" t="inlineStr">
        <is>
          <t>自动计算距离天数。</t>
        </is>
      </c>
    </row>
    <row r="14">
      <c r="A14" s="3" t="inlineStr">
        <is>
          <t>下一步动作</t>
        </is>
      </c>
      <c r="B14" s="3" t="inlineStr">
        <is>
          <t>建议</t>
        </is>
      </c>
      <c r="C14" s="3" t="inlineStr">
        <is>
          <t>例如：补测评 / 改简历 / 等待一面。</t>
        </is>
      </c>
      <c r="D14" s="3" t="inlineStr">
        <is>
          <t>避免遗漏。</t>
        </is>
      </c>
    </row>
    <row r="15">
      <c r="A15" s="3" t="inlineStr">
        <is>
          <t>下一步截止</t>
        </is>
      </c>
      <c r="B15" s="3" t="inlineStr">
        <is>
          <t>建议</t>
        </is>
      </c>
      <c r="C15" s="3" t="inlineStr">
        <is>
          <t>若有明确时间就填。</t>
        </is>
      </c>
      <c r="D15" s="3" t="inlineStr">
        <is>
          <t>本周待跟进会自动统计。</t>
        </is>
      </c>
    </row>
    <row r="16">
      <c r="A16" s="3" t="inlineStr">
        <is>
          <t>风险/挂点</t>
        </is>
      </c>
      <c r="B16" s="3" t="inlineStr">
        <is>
          <t>建议</t>
        </is>
      </c>
      <c r="C16" s="3" t="inlineStr">
        <is>
          <t>写可能不过的原因。</t>
        </is>
      </c>
      <c r="D16" s="3" t="inlineStr">
        <is>
          <t>比如“RAG 经验不足”。</t>
        </is>
      </c>
    </row>
    <row r="17">
      <c r="A17" s="3" t="inlineStr">
        <is>
          <t>复盘总结</t>
        </is>
      </c>
      <c r="B17" s="3" t="inlineStr">
        <is>
          <t>建议</t>
        </is>
      </c>
      <c r="C17" s="3" t="inlineStr">
        <is>
          <t>面试后记录问题与改进。</t>
        </is>
      </c>
      <c r="D17" s="3" t="inlineStr">
        <is>
          <t>长期最有价值。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2026-03-25T10:07:35Z</dcterms:created>
  <dcterms:modified xmlns:dcterms="http://purl.org/dc/terms/" xmlns:xsi="http://www.w3.org/2001/XMLSchema-instance" xsi:type="dcterms:W3CDTF">2026-03-25T11:31:00Z</dcterms:modified>
  <cp:lastModifiedBy>呀呀猴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00A142DED86A45AE800CBA2F6FBE23B5_12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